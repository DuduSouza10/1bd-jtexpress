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eedmg-my.sharepoint.com/personal/patriccruz_mg_speedmg_onmicrosoft_com/Documents/Área de Trabalho/"/>
    </mc:Choice>
  </mc:AlternateContent>
  <xr:revisionPtr revIDLastSave="0" documentId="8_{55684D90-11A6-49AC-B007-327956193871}" xr6:coauthVersionLast="47" xr6:coauthVersionMax="47" xr10:uidLastSave="{00000000-0000-0000-0000-000000000000}"/>
  <bookViews>
    <workbookView xWindow="-120" yWindow="-120" windowWidth="29040" windowHeight="15720" activeTab="2" xr2:uid="{0F313DC3-2A1D-4450-B739-E51CEFEBE56A}"/>
  </bookViews>
  <sheets>
    <sheet name="Apresentação" sheetId="5" r:id="rId1"/>
    <sheet name="din" sheetId="4" r:id="rId2"/>
    <sheet name="detalhes" sheetId="2" r:id="rId3"/>
    <sheet name="ultima atualização" sheetId="3" r:id="rId4"/>
    <sheet name="RM" sheetId="6" r:id="rId5"/>
  </sheets>
  <externalReferences>
    <externalReference r:id="rId6"/>
  </externalReferences>
  <definedNames>
    <definedName name="_xlnm._FilterDatabase" localSheetId="0" hidden="1">Apresentação!$A$3:$F$88</definedName>
    <definedName name="_xlnm._FilterDatabase" localSheetId="2" hidden="1">detalhes!$A$1:$I$641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8" i="2"/>
  <c r="J1219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2" i="2"/>
  <c r="F17" i="5" l="1"/>
  <c r="F84" i="5"/>
  <c r="F67" i="5"/>
  <c r="F68" i="5"/>
  <c r="F85" i="5"/>
  <c r="F86" i="5"/>
  <c r="F23" i="5"/>
  <c r="F87" i="5"/>
  <c r="F69" i="5"/>
  <c r="F70" i="5"/>
  <c r="F88" i="5"/>
  <c r="E17" i="5"/>
  <c r="C17" i="5" s="1"/>
  <c r="E84" i="5"/>
  <c r="E67" i="5"/>
  <c r="E68" i="5"/>
  <c r="E85" i="5"/>
  <c r="C85" i="5" s="1"/>
  <c r="E86" i="5"/>
  <c r="E23" i="5"/>
  <c r="E87" i="5"/>
  <c r="E69" i="5"/>
  <c r="E70" i="5"/>
  <c r="E88" i="5"/>
  <c r="A17" i="5"/>
  <c r="A84" i="5"/>
  <c r="A67" i="5"/>
  <c r="A68" i="5"/>
  <c r="A85" i="5"/>
  <c r="A86" i="5"/>
  <c r="A23" i="5"/>
  <c r="A87" i="5"/>
  <c r="A69" i="5"/>
  <c r="A70" i="5"/>
  <c r="A88" i="5"/>
  <c r="D17" i="5"/>
  <c r="D84" i="5"/>
  <c r="C84" i="5" s="1"/>
  <c r="D67" i="5"/>
  <c r="C67" i="5" s="1"/>
  <c r="D68" i="5"/>
  <c r="D85" i="5"/>
  <c r="D86" i="5"/>
  <c r="C86" i="5" s="1"/>
  <c r="D23" i="5"/>
  <c r="C23" i="5" s="1"/>
  <c r="D87" i="5"/>
  <c r="D69" i="5"/>
  <c r="D70" i="5"/>
  <c r="C70" i="5" s="1"/>
  <c r="D88" i="5"/>
  <c r="F26" i="5"/>
  <c r="F27" i="5"/>
  <c r="F40" i="5"/>
  <c r="F38" i="5"/>
  <c r="F71" i="5"/>
  <c r="F54" i="5"/>
  <c r="F5" i="5"/>
  <c r="F6" i="5"/>
  <c r="F55" i="5"/>
  <c r="F56" i="5"/>
  <c r="F14" i="5"/>
  <c r="F57" i="5"/>
  <c r="F34" i="5"/>
  <c r="F66" i="5"/>
  <c r="E26" i="5"/>
  <c r="E27" i="5"/>
  <c r="E40" i="5"/>
  <c r="E38" i="5"/>
  <c r="E71" i="5"/>
  <c r="E54" i="5"/>
  <c r="E5" i="5"/>
  <c r="E6" i="5"/>
  <c r="E55" i="5"/>
  <c r="E56" i="5"/>
  <c r="E14" i="5"/>
  <c r="E57" i="5"/>
  <c r="E34" i="5"/>
  <c r="E66" i="5"/>
  <c r="D26" i="5"/>
  <c r="D27" i="5"/>
  <c r="D40" i="5"/>
  <c r="D38" i="5"/>
  <c r="D71" i="5"/>
  <c r="D54" i="5"/>
  <c r="D5" i="5"/>
  <c r="D6" i="5"/>
  <c r="D55" i="5"/>
  <c r="D56" i="5"/>
  <c r="D14" i="5"/>
  <c r="D57" i="5"/>
  <c r="D34" i="5"/>
  <c r="D66" i="5"/>
  <c r="A26" i="5"/>
  <c r="A27" i="5"/>
  <c r="A40" i="5"/>
  <c r="A38" i="5"/>
  <c r="A71" i="5"/>
  <c r="A54" i="5"/>
  <c r="A5" i="5"/>
  <c r="A6" i="5"/>
  <c r="A55" i="5"/>
  <c r="A56" i="5"/>
  <c r="A14" i="5"/>
  <c r="A57" i="5"/>
  <c r="A34" i="5"/>
  <c r="A66" i="5"/>
  <c r="A45" i="5"/>
  <c r="A80" i="5"/>
  <c r="A59" i="5"/>
  <c r="A75" i="5"/>
  <c r="A11" i="5"/>
  <c r="A15" i="5"/>
  <c r="A7" i="5"/>
  <c r="A60" i="5"/>
  <c r="A46" i="5"/>
  <c r="A44" i="5"/>
  <c r="A76" i="5"/>
  <c r="A79" i="5"/>
  <c r="A64" i="5"/>
  <c r="A20" i="5"/>
  <c r="A81" i="5"/>
  <c r="A35" i="5"/>
  <c r="A42" i="5"/>
  <c r="A83" i="5"/>
  <c r="A29" i="5"/>
  <c r="A65" i="5"/>
  <c r="A12" i="5"/>
  <c r="A51" i="5"/>
  <c r="A21" i="5"/>
  <c r="A32" i="5"/>
  <c r="A72" i="5"/>
  <c r="A30" i="5"/>
  <c r="A22" i="5"/>
  <c r="A62" i="5"/>
  <c r="A77" i="5"/>
  <c r="A28" i="5"/>
  <c r="A50" i="5"/>
  <c r="A52" i="5"/>
  <c r="A48" i="5"/>
  <c r="A47" i="5"/>
  <c r="A16" i="5"/>
  <c r="A18" i="5"/>
  <c r="A61" i="5"/>
  <c r="A73" i="5"/>
  <c r="A19" i="5"/>
  <c r="A8" i="5"/>
  <c r="A37" i="5"/>
  <c r="A82" i="5"/>
  <c r="A63" i="5"/>
  <c r="A13" i="5"/>
  <c r="A31" i="5"/>
  <c r="A4" i="5"/>
  <c r="A33" i="5"/>
  <c r="A36" i="5"/>
  <c r="A53" i="5"/>
  <c r="A78" i="5"/>
  <c r="A49" i="5"/>
  <c r="A10" i="5"/>
  <c r="A9" i="5"/>
  <c r="A24" i="5"/>
  <c r="A39" i="5"/>
  <c r="A41" i="5"/>
  <c r="A74" i="5"/>
  <c r="A25" i="5"/>
  <c r="A43" i="5"/>
  <c r="A58" i="5"/>
  <c r="C5" i="5" l="1"/>
  <c r="C69" i="5"/>
  <c r="C88" i="5"/>
  <c r="C87" i="5"/>
  <c r="C68" i="5"/>
  <c r="C66" i="5"/>
  <c r="C54" i="5"/>
  <c r="C27" i="5"/>
  <c r="C34" i="5"/>
  <c r="C55" i="5"/>
  <c r="C71" i="5"/>
  <c r="C26" i="5"/>
  <c r="C38" i="5"/>
  <c r="C14" i="5"/>
  <c r="C40" i="5"/>
  <c r="C56" i="5"/>
  <c r="C57" i="5"/>
  <c r="C6" i="5"/>
  <c r="F36" i="5"/>
  <c r="F32" i="5"/>
  <c r="F8" i="5"/>
  <c r="F12" i="5"/>
  <c r="F33" i="5"/>
  <c r="E36" i="5"/>
  <c r="E32" i="5"/>
  <c r="E8" i="5"/>
  <c r="E12" i="5"/>
  <c r="E33" i="5"/>
  <c r="D36" i="5"/>
  <c r="D32" i="5"/>
  <c r="D8" i="5"/>
  <c r="D12" i="5"/>
  <c r="D33" i="5"/>
  <c r="F62" i="5"/>
  <c r="F72" i="5"/>
  <c r="F15" i="5"/>
  <c r="F31" i="5"/>
  <c r="F21" i="5"/>
  <c r="F11" i="5"/>
  <c r="F10" i="5"/>
  <c r="F75" i="5"/>
  <c r="F46" i="5"/>
  <c r="F30" i="5"/>
  <c r="F7" i="5"/>
  <c r="F61" i="5"/>
  <c r="F74" i="5"/>
  <c r="F39" i="5"/>
  <c r="F50" i="5"/>
  <c r="E62" i="5"/>
  <c r="E72" i="5"/>
  <c r="E15" i="5"/>
  <c r="E31" i="5"/>
  <c r="E21" i="5"/>
  <c r="E11" i="5"/>
  <c r="E10" i="5"/>
  <c r="E75" i="5"/>
  <c r="E46" i="5"/>
  <c r="E30" i="5"/>
  <c r="E7" i="5"/>
  <c r="E61" i="5"/>
  <c r="E74" i="5"/>
  <c r="E39" i="5"/>
  <c r="E50" i="5"/>
  <c r="D62" i="5"/>
  <c r="D72" i="5"/>
  <c r="D15" i="5"/>
  <c r="D31" i="5"/>
  <c r="D21" i="5"/>
  <c r="D11" i="5"/>
  <c r="D10" i="5"/>
  <c r="D75" i="5"/>
  <c r="D46" i="5"/>
  <c r="D30" i="5"/>
  <c r="D7" i="5"/>
  <c r="D61" i="5"/>
  <c r="D74" i="5"/>
  <c r="D39" i="5"/>
  <c r="D50" i="5"/>
  <c r="F42" i="5"/>
  <c r="F41" i="5"/>
  <c r="F25" i="5"/>
  <c r="F37" i="5"/>
  <c r="F77" i="5"/>
  <c r="F18" i="5"/>
  <c r="F16" i="5"/>
  <c r="F20" i="5"/>
  <c r="F48" i="5"/>
  <c r="E42" i="5"/>
  <c r="E41" i="5"/>
  <c r="E25" i="5"/>
  <c r="E37" i="5"/>
  <c r="E77" i="5"/>
  <c r="E18" i="5"/>
  <c r="E16" i="5"/>
  <c r="E20" i="5"/>
  <c r="E48" i="5"/>
  <c r="D42" i="5"/>
  <c r="D41" i="5"/>
  <c r="D25" i="5"/>
  <c r="D37" i="5"/>
  <c r="D77" i="5"/>
  <c r="D18" i="5"/>
  <c r="D16" i="5"/>
  <c r="D20" i="5"/>
  <c r="D48" i="5"/>
  <c r="D78" i="5"/>
  <c r="E78" i="5"/>
  <c r="F78" i="5"/>
  <c r="F19" i="5"/>
  <c r="F64" i="5"/>
  <c r="F81" i="5"/>
  <c r="F51" i="5"/>
  <c r="F44" i="5"/>
  <c r="F82" i="5"/>
  <c r="F9" i="5"/>
  <c r="F65" i="5"/>
  <c r="F35" i="5"/>
  <c r="F73" i="5"/>
  <c r="F28" i="5"/>
  <c r="F47" i="5"/>
  <c r="F76" i="5"/>
  <c r="F60" i="5"/>
  <c r="F80" i="5"/>
  <c r="F22" i="5"/>
  <c r="F29" i="5"/>
  <c r="F13" i="5"/>
  <c r="E19" i="5"/>
  <c r="E64" i="5"/>
  <c r="E81" i="5"/>
  <c r="E51" i="5"/>
  <c r="E44" i="5"/>
  <c r="E82" i="5"/>
  <c r="E9" i="5"/>
  <c r="E65" i="5"/>
  <c r="E35" i="5"/>
  <c r="E73" i="5"/>
  <c r="E28" i="5"/>
  <c r="E47" i="5"/>
  <c r="E76" i="5"/>
  <c r="E60" i="5"/>
  <c r="E80" i="5"/>
  <c r="E22" i="5"/>
  <c r="E29" i="5"/>
  <c r="E13" i="5"/>
  <c r="D19" i="5"/>
  <c r="D64" i="5"/>
  <c r="D81" i="5"/>
  <c r="D51" i="5"/>
  <c r="D44" i="5"/>
  <c r="D82" i="5"/>
  <c r="D9" i="5"/>
  <c r="D65" i="5"/>
  <c r="D35" i="5"/>
  <c r="D73" i="5"/>
  <c r="D28" i="5"/>
  <c r="D47" i="5"/>
  <c r="D76" i="5"/>
  <c r="D60" i="5"/>
  <c r="D80" i="5"/>
  <c r="D22" i="5"/>
  <c r="D29" i="5"/>
  <c r="D13" i="5"/>
  <c r="D59" i="5"/>
  <c r="E59" i="5"/>
  <c r="F59" i="5"/>
  <c r="D43" i="5"/>
  <c r="E43" i="5"/>
  <c r="F43" i="5"/>
  <c r="D79" i="5"/>
  <c r="E79" i="5"/>
  <c r="F79" i="5"/>
  <c r="D45" i="5"/>
  <c r="E45" i="5"/>
  <c r="F45" i="5"/>
  <c r="D52" i="5"/>
  <c r="E52" i="5"/>
  <c r="F52" i="5"/>
  <c r="D4" i="5"/>
  <c r="E4" i="5"/>
  <c r="F4" i="5"/>
  <c r="D49" i="5"/>
  <c r="E49" i="5"/>
  <c r="F49" i="5"/>
  <c r="D53" i="5"/>
  <c r="E53" i="5"/>
  <c r="F53" i="5"/>
  <c r="D58" i="5"/>
  <c r="E58" i="5"/>
  <c r="F58" i="5"/>
  <c r="D83" i="5"/>
  <c r="E83" i="5"/>
  <c r="F83" i="5"/>
  <c r="D63" i="5"/>
  <c r="E63" i="5"/>
  <c r="F63" i="5"/>
  <c r="D24" i="5"/>
  <c r="E24" i="5"/>
  <c r="F24" i="5"/>
  <c r="C12" i="5" l="1"/>
  <c r="C33" i="5"/>
  <c r="C36" i="5"/>
  <c r="C32" i="5"/>
  <c r="C46" i="5"/>
  <c r="C21" i="5"/>
  <c r="C74" i="5"/>
  <c r="C75" i="5"/>
  <c r="C31" i="5"/>
  <c r="C62" i="5"/>
  <c r="C61" i="5"/>
  <c r="C72" i="5"/>
  <c r="C8" i="5"/>
  <c r="C11" i="5"/>
  <c r="C7" i="5"/>
  <c r="C50" i="5"/>
  <c r="C30" i="5"/>
  <c r="C15" i="5"/>
  <c r="C10" i="5"/>
  <c r="C16" i="5"/>
  <c r="C39" i="5"/>
  <c r="C77" i="5"/>
  <c r="C18" i="5"/>
  <c r="C25" i="5"/>
  <c r="C42" i="5"/>
  <c r="C37" i="5"/>
  <c r="C48" i="5"/>
  <c r="C28" i="5"/>
  <c r="C20" i="5"/>
  <c r="C41" i="5"/>
  <c r="C13" i="5"/>
  <c r="C60" i="5"/>
  <c r="C78" i="5"/>
  <c r="C80" i="5"/>
  <c r="C47" i="5"/>
  <c r="C81" i="5"/>
  <c r="C35" i="5"/>
  <c r="C9" i="5"/>
  <c r="C73" i="5"/>
  <c r="C44" i="5"/>
  <c r="C19" i="5"/>
  <c r="C22" i="5"/>
  <c r="C76" i="5"/>
  <c r="C83" i="5"/>
  <c r="C53" i="5"/>
  <c r="C29" i="5"/>
  <c r="C82" i="5"/>
  <c r="C51" i="5"/>
  <c r="C64" i="5"/>
  <c r="C65" i="5"/>
  <c r="C79" i="5"/>
  <c r="C24" i="5"/>
  <c r="C4" i="5"/>
  <c r="C59" i="5"/>
  <c r="C49" i="5"/>
  <c r="C43" i="5"/>
  <c r="C63" i="5"/>
  <c r="C58" i="5"/>
  <c r="C52" i="5"/>
  <c r="C45" i="5"/>
</calcChain>
</file>

<file path=xl/sharedStrings.xml><?xml version="1.0" encoding="utf-8"?>
<sst xmlns="http://schemas.openxmlformats.org/spreadsheetml/2006/main" count="9828" uniqueCount="3281">
  <si>
    <t xml:space="preserve">Base </t>
  </si>
  <si>
    <t>Taxa de assinatura em 1BD</t>
  </si>
  <si>
    <t>Total</t>
  </si>
  <si>
    <t>Assinado</t>
  </si>
  <si>
    <t>Não Assinado</t>
  </si>
  <si>
    <t>网点</t>
  </si>
  <si>
    <t>1BD签收率</t>
  </si>
  <si>
    <t>合计</t>
  </si>
  <si>
    <t>已签收</t>
  </si>
  <si>
    <t>未签收</t>
  </si>
  <si>
    <t>[LATAM] Delivery progress enquiry</t>
  </si>
  <si>
    <t>Rótulos de Linha</t>
  </si>
  <si>
    <t>(vazio)</t>
  </si>
  <si>
    <t>Total Geral</t>
  </si>
  <si>
    <t>Rótulos de Coluna</t>
  </si>
  <si>
    <t>ARA-SP</t>
  </si>
  <si>
    <t>SPN</t>
  </si>
  <si>
    <t>SJP 02-SP</t>
  </si>
  <si>
    <t>F CTD-SP</t>
  </si>
  <si>
    <t>FRC 02-SP</t>
  </si>
  <si>
    <t>F OUR-SP</t>
  </si>
  <si>
    <t>F BAT-SP</t>
  </si>
  <si>
    <t>RAO 02-SP</t>
  </si>
  <si>
    <t>F RAO 02-SP</t>
  </si>
  <si>
    <t>PPB-SP</t>
  </si>
  <si>
    <t>F ASI-SP</t>
  </si>
  <si>
    <t>RAO-SP</t>
  </si>
  <si>
    <t>BTC-SP</t>
  </si>
  <si>
    <t>F QSC 03-SP</t>
  </si>
  <si>
    <t>BBD-SP</t>
  </si>
  <si>
    <t>CPE-SP</t>
  </si>
  <si>
    <t>TAXA DE ASSINATURA 1BD</t>
  </si>
  <si>
    <t>Sim</t>
  </si>
  <si>
    <t>Não</t>
  </si>
  <si>
    <t>FRC 03-SP</t>
  </si>
  <si>
    <t>F MRS-SP</t>
  </si>
  <si>
    <t>F VTP-SP</t>
  </si>
  <si>
    <t>F ITV 02-SP</t>
  </si>
  <si>
    <t>BAU 04-SP</t>
  </si>
  <si>
    <t>SJP 03-SP</t>
  </si>
  <si>
    <t>Fechado|已关闭</t>
  </si>
  <si>
    <t>Processamento concluído|处理完成</t>
  </si>
  <si>
    <t>Pendente de processamento|待处理</t>
  </si>
  <si>
    <t>Pendente de atribuição|待分配</t>
  </si>
  <si>
    <t>MII-SP</t>
  </si>
  <si>
    <t>F PTR-SP</t>
  </si>
  <si>
    <t>F TQA-SP</t>
  </si>
  <si>
    <t>RAO 03-SP</t>
  </si>
  <si>
    <t>BTT-SP</t>
  </si>
  <si>
    <t>工单编号
Pedido</t>
  </si>
  <si>
    <t>运单号
Remessa</t>
  </si>
  <si>
    <t>工单状态
Status de Chamado</t>
  </si>
  <si>
    <t>二级类型名称
Nome de tipo de nível II</t>
  </si>
  <si>
    <t>登记时间
data de registro</t>
  </si>
  <si>
    <t>派件网点 Base de Entrega</t>
  </si>
  <si>
    <t>区域
Regional</t>
  </si>
  <si>
    <t>签收时间
Tempo de assinatura</t>
  </si>
  <si>
    <t>是否签收
Se foi assinado</t>
  </si>
  <si>
    <t>Contagem de 派件网点 Base de Entrega</t>
  </si>
  <si>
    <t>F NVH-SP</t>
  </si>
  <si>
    <t>ARU-SP</t>
  </si>
  <si>
    <t>F LNS-SP</t>
  </si>
  <si>
    <t>VGS-SP</t>
  </si>
  <si>
    <t>F MAT-SP</t>
  </si>
  <si>
    <t>BGI-SP</t>
  </si>
  <si>
    <t>F RPD-SP</t>
  </si>
  <si>
    <t>F ORL 02-SP</t>
  </si>
  <si>
    <t>F JAU-SP</t>
  </si>
  <si>
    <t>F OSW-SP</t>
  </si>
  <si>
    <t>PDR-SP</t>
  </si>
  <si>
    <t>F TQT-SP</t>
  </si>
  <si>
    <t>F PRE-SP</t>
  </si>
  <si>
    <t>F MII-SP</t>
  </si>
  <si>
    <t>SCL-SP</t>
  </si>
  <si>
    <t>F AGI-SP</t>
  </si>
  <si>
    <t>F STC-SP</t>
  </si>
  <si>
    <t>F AMB-SP</t>
  </si>
  <si>
    <t>F DCR-SP</t>
  </si>
  <si>
    <t>JBT-SP</t>
  </si>
  <si>
    <t>F PRC-SP</t>
  </si>
  <si>
    <t>F LCP-SP</t>
  </si>
  <si>
    <t>F TPA-SP</t>
  </si>
  <si>
    <t>F OLI-SP</t>
  </si>
  <si>
    <t>F SNA-SP</t>
  </si>
  <si>
    <t>F GRC-SP</t>
  </si>
  <si>
    <t>F GRB-SP</t>
  </si>
  <si>
    <t>F PNP-SP</t>
  </si>
  <si>
    <t>F SCP-SP</t>
  </si>
  <si>
    <t>F ITT-SP</t>
  </si>
  <si>
    <t>F ITI-SP</t>
  </si>
  <si>
    <t>F PRP-SP</t>
  </si>
  <si>
    <t>F PFT-SP</t>
  </si>
  <si>
    <t>AVR-SP</t>
  </si>
  <si>
    <t>F SRV-SP</t>
  </si>
  <si>
    <t>F AND-SP</t>
  </si>
  <si>
    <t>SJP 04-SP</t>
  </si>
  <si>
    <t>F MCC-SP</t>
  </si>
  <si>
    <t>F SJB-SP</t>
  </si>
  <si>
    <t>F RGF-SP</t>
  </si>
  <si>
    <t>F MAP-SP</t>
  </si>
  <si>
    <t>ARU 02-SP</t>
  </si>
  <si>
    <t>F STF-SP</t>
  </si>
  <si>
    <t>F TGI-SP</t>
  </si>
  <si>
    <t>FERN-SP</t>
  </si>
  <si>
    <t>F BRB-SP</t>
  </si>
  <si>
    <t>AGD-SP</t>
  </si>
  <si>
    <t>F ADM-SP</t>
  </si>
  <si>
    <t>F DSC-SP</t>
  </si>
  <si>
    <t>F CSB-SP</t>
  </si>
  <si>
    <t>PRSS-SP</t>
  </si>
  <si>
    <t>BAU 03-SP</t>
  </si>
  <si>
    <t>F SBV 02-SP</t>
  </si>
  <si>
    <t>F NVG-SP</t>
  </si>
  <si>
    <t>F BDB-SP</t>
  </si>
  <si>
    <t>F PTG-SP</t>
  </si>
  <si>
    <t>F PLT-SP</t>
  </si>
  <si>
    <t>F SBV-SP</t>
  </si>
  <si>
    <t>F ITAP-SP</t>
  </si>
  <si>
    <t>SJP-SP</t>
  </si>
  <si>
    <t>F PVC-SP</t>
  </si>
  <si>
    <t>F JLS-SP</t>
  </si>
  <si>
    <t>F VLP-SP</t>
  </si>
  <si>
    <t>F GPC-SP</t>
  </si>
  <si>
    <t>F BRN-SP</t>
  </si>
  <si>
    <t>DCN SP</t>
  </si>
  <si>
    <t>F GRR-SP</t>
  </si>
  <si>
    <t>F MTT-SP</t>
  </si>
  <si>
    <t>BAU 02-SP</t>
  </si>
  <si>
    <t>F VRD-SP</t>
  </si>
  <si>
    <t>F JSB-SP</t>
  </si>
  <si>
    <t>F BTM-SP</t>
  </si>
  <si>
    <t>F IBG-SP</t>
  </si>
  <si>
    <t>F PDP-SP</t>
  </si>
  <si>
    <t>F ARA-SP</t>
  </si>
  <si>
    <t>F GUR-SP</t>
  </si>
  <si>
    <t>F SML-SP</t>
  </si>
  <si>
    <t>F BRR-SP</t>
  </si>
  <si>
    <t>F MTN-SP</t>
  </si>
  <si>
    <t>F BTS-SP</t>
  </si>
  <si>
    <t>F AUR-SP</t>
  </si>
  <si>
    <t>F RCR-SP</t>
  </si>
  <si>
    <t>Base</t>
  </si>
  <si>
    <t>Responsável</t>
  </si>
  <si>
    <t>RM</t>
  </si>
  <si>
    <t>Thiago Santos</t>
  </si>
  <si>
    <t>F RSN-SP</t>
  </si>
  <si>
    <t>F TSP-SP</t>
  </si>
  <si>
    <t>AMC-SP</t>
  </si>
  <si>
    <t>Danilo Gomes</t>
  </si>
  <si>
    <t>BAU-SP</t>
  </si>
  <si>
    <t>FRC-SP</t>
  </si>
  <si>
    <t>F GNS-SP</t>
  </si>
  <si>
    <t>5349055908868</t>
  </si>
  <si>
    <t>2026-09-15 00:07:27</t>
  </si>
  <si>
    <t>5351456423684</t>
  </si>
  <si>
    <t>2026-09-15 00:18:35</t>
  </si>
  <si>
    <t>5351644324612</t>
  </si>
  <si>
    <t>2026-09-15 00:24:05</t>
  </si>
  <si>
    <t>5351563801348</t>
  </si>
  <si>
    <t>2026-09-15 00:26:27</t>
  </si>
  <si>
    <t>5351575285252</t>
  </si>
  <si>
    <t>2026-09-15 00:49:38</t>
  </si>
  <si>
    <t>5350348114948</t>
  </si>
  <si>
    <t>2026-09-15 00:55:57</t>
  </si>
  <si>
    <t>5354322214660</t>
  </si>
  <si>
    <t>2026-09-15 04:21:42</t>
  </si>
  <si>
    <t>5354703807492</t>
  </si>
  <si>
    <t>2026-09-15 04:22:59</t>
  </si>
  <si>
    <t>5355357589252</t>
  </si>
  <si>
    <t>2026-09-15 05:47:02</t>
  </si>
  <si>
    <t>5355537356804</t>
  </si>
  <si>
    <t>2026-09-15 06:08:43</t>
  </si>
  <si>
    <t>5356525389316</t>
  </si>
  <si>
    <t>2026-09-15 06:13:51</t>
  </si>
  <si>
    <t>5355732731908</t>
  </si>
  <si>
    <t>2026-09-15 06:23:41</t>
  </si>
  <si>
    <t>5356104449796</t>
  </si>
  <si>
    <t>2026-09-15 06:26:57</t>
  </si>
  <si>
    <t>5356253928196</t>
  </si>
  <si>
    <t>2026-09-15 06:27:03</t>
  </si>
  <si>
    <t>5355731187716</t>
  </si>
  <si>
    <t>2026-09-15 06:28:35</t>
  </si>
  <si>
    <t>5355565539844</t>
  </si>
  <si>
    <t>2026-09-15 06:32:47</t>
  </si>
  <si>
    <t>5356360762372</t>
  </si>
  <si>
    <t>2026-09-15 06:35:48</t>
  </si>
  <si>
    <t>5356254324740</t>
  </si>
  <si>
    <t>2026-09-15 06:38:51</t>
  </si>
  <si>
    <t>5355674639364</t>
  </si>
  <si>
    <t>2026-09-15 06:54:30</t>
  </si>
  <si>
    <t>5355763592964</t>
  </si>
  <si>
    <t>2026-09-15 06:56:26</t>
  </si>
  <si>
    <t>5355123852036</t>
  </si>
  <si>
    <t>2026-09-15 06:57:51</t>
  </si>
  <si>
    <t>5356178814724</t>
  </si>
  <si>
    <t>2026-09-15 06:58:01</t>
  </si>
  <si>
    <t>5355133978116</t>
  </si>
  <si>
    <t>2026-09-15 06:58:53</t>
  </si>
  <si>
    <t>5356567004932</t>
  </si>
  <si>
    <t>2026-09-15 07:00:46</t>
  </si>
  <si>
    <t>5356807246596</t>
  </si>
  <si>
    <t>2026-09-15 07:05:06</t>
  </si>
  <si>
    <t>5356139566596</t>
  </si>
  <si>
    <t>2026-09-15 07:08:30</t>
  </si>
  <si>
    <t>5356202766596</t>
  </si>
  <si>
    <t>2026-09-15 07:24:38</t>
  </si>
  <si>
    <t>5356140331268</t>
  </si>
  <si>
    <t>2026-09-15 07:26:14</t>
  </si>
  <si>
    <t>5357091030788</t>
  </si>
  <si>
    <t>2026-09-15 07:29:28</t>
  </si>
  <si>
    <t>5357998835972</t>
  </si>
  <si>
    <t>2026-09-15 07:37:00</t>
  </si>
  <si>
    <t>5356868188164</t>
  </si>
  <si>
    <t>2026-09-15 07:37:21</t>
  </si>
  <si>
    <t>5357667031812</t>
  </si>
  <si>
    <t>2026-09-15 07:46:45</t>
  </si>
  <si>
    <t>5357770777860</t>
  </si>
  <si>
    <t>2026-09-15 07:58:56</t>
  </si>
  <si>
    <t>2026-09-15 10:46:31</t>
  </si>
  <si>
    <t>2026-09-15 11:19:36</t>
  </si>
  <si>
    <t>2026-09-15 11:10:19</t>
  </si>
  <si>
    <t>2026-09-15 10:37:00</t>
  </si>
  <si>
    <t>2026-09-15 11:12:32</t>
  </si>
  <si>
    <t>2026-09-15 10:39:24</t>
  </si>
  <si>
    <t>2026-09-15 10:35:18</t>
  </si>
  <si>
    <t>2026-09-15 11:56:24</t>
  </si>
  <si>
    <t>2026-09-15 10:20:16</t>
  </si>
  <si>
    <t>2026-09-15 09:59:47</t>
  </si>
  <si>
    <t>2026-09-15 08:53:10</t>
  </si>
  <si>
    <t>2026-09-15 10:16:16</t>
  </si>
  <si>
    <t>5357672201220</t>
  </si>
  <si>
    <t>2026-09-15 08:04:40</t>
  </si>
  <si>
    <t>5358373841668</t>
  </si>
  <si>
    <t>2026-09-15 08:05:25</t>
  </si>
  <si>
    <t>5357692568580</t>
  </si>
  <si>
    <t>2026-09-15 08:09:17</t>
  </si>
  <si>
    <t>5356228612612</t>
  </si>
  <si>
    <t>2026-09-15 08:10:22</t>
  </si>
  <si>
    <t>2026-09-15 08:18:18</t>
  </si>
  <si>
    <t>5358042965764</t>
  </si>
  <si>
    <t>2026-09-15 08:13:47</t>
  </si>
  <si>
    <t>5357595866884</t>
  </si>
  <si>
    <t>2026-09-15 08:17:13</t>
  </si>
  <si>
    <t>5357411547652</t>
  </si>
  <si>
    <t>2026-09-15 08:18:00</t>
  </si>
  <si>
    <t>5357840329476</t>
  </si>
  <si>
    <t>5357322255876</t>
  </si>
  <si>
    <t>2026-09-15 08:26:52</t>
  </si>
  <si>
    <t>5356229670148</t>
  </si>
  <si>
    <t>2026-09-15 08:27:20</t>
  </si>
  <si>
    <t>5357391028484</t>
  </si>
  <si>
    <t>2026-09-15 08:27:53</t>
  </si>
  <si>
    <t>5358380759556</t>
  </si>
  <si>
    <t>2026-09-15 08:27:55</t>
  </si>
  <si>
    <t>5357693078020</t>
  </si>
  <si>
    <t>2026-09-15 08:28:42</t>
  </si>
  <si>
    <t>5358661821188</t>
  </si>
  <si>
    <t>2026-09-15 08:33:45</t>
  </si>
  <si>
    <t>2026-09-15 09:51:34</t>
  </si>
  <si>
    <t>5358388779012</t>
  </si>
  <si>
    <t>2026-09-15 08:36:03</t>
  </si>
  <si>
    <t>5356230057732</t>
  </si>
  <si>
    <t>2026-09-15 08:36:29</t>
  </si>
  <si>
    <t>5357391319044</t>
  </si>
  <si>
    <t>2026-09-15 08:38:20</t>
  </si>
  <si>
    <t>5357845274628</t>
  </si>
  <si>
    <t>2026-09-15 08:38:48</t>
  </si>
  <si>
    <t>5357329152260</t>
  </si>
  <si>
    <t>2026-09-15 08:41:36</t>
  </si>
  <si>
    <t>5356245618948</t>
  </si>
  <si>
    <t>2026-09-15 08:41:49</t>
  </si>
  <si>
    <t>5357606110980</t>
  </si>
  <si>
    <t>2026-09-15 08:51:14</t>
  </si>
  <si>
    <t>5358564795140</t>
  </si>
  <si>
    <t>2026-09-15 08:52:59</t>
  </si>
  <si>
    <t>5358479008004</t>
  </si>
  <si>
    <t>2026-09-15 08:56:19</t>
  </si>
  <si>
    <t>5357322103300</t>
  </si>
  <si>
    <t>2026-09-15 08:58:53</t>
  </si>
  <si>
    <t>5357845951492</t>
  </si>
  <si>
    <t>2026-09-15 09:00:35</t>
  </si>
  <si>
    <t>5357347240452</t>
  </si>
  <si>
    <t>2026-09-15 09:04:37</t>
  </si>
  <si>
    <t>5358576494084</t>
  </si>
  <si>
    <t>2026-09-15 09:06:50</t>
  </si>
  <si>
    <t>5357323767044</t>
  </si>
  <si>
    <t>2026-09-15 09:09:19</t>
  </si>
  <si>
    <t>5358929142276</t>
  </si>
  <si>
    <t>2026-09-15 09:10:11</t>
  </si>
  <si>
    <t>5357345561604</t>
  </si>
  <si>
    <t>2026-09-15 09:13:00</t>
  </si>
  <si>
    <t>2026-09-15 10:54:30</t>
  </si>
  <si>
    <t>5358930943492</t>
  </si>
  <si>
    <t>2026-09-15 09:13:07</t>
  </si>
  <si>
    <t>2026-09-15 11:11:37</t>
  </si>
  <si>
    <t>5357164950788</t>
  </si>
  <si>
    <t>2026-09-15 09:14:36</t>
  </si>
  <si>
    <t>2026-09-15 11:37:49</t>
  </si>
  <si>
    <t>5358235231492</t>
  </si>
  <si>
    <t>2026-09-15 09:14:40</t>
  </si>
  <si>
    <t>5358515808260</t>
  </si>
  <si>
    <t>2026-09-15 09:17:50</t>
  </si>
  <si>
    <t>5357165160452</t>
  </si>
  <si>
    <t>2026-09-15 09:19:59</t>
  </si>
  <si>
    <t>5358485794820</t>
  </si>
  <si>
    <t>2026-09-15 09:20:00</t>
  </si>
  <si>
    <t>2026-09-15 10:58:30</t>
  </si>
  <si>
    <t>5358236503812</t>
  </si>
  <si>
    <t>2026-09-15 09:21:37</t>
  </si>
  <si>
    <t>5358515998724</t>
  </si>
  <si>
    <t>2026-09-15 09:23:24</t>
  </si>
  <si>
    <t>2026-09-15 11:33:27</t>
  </si>
  <si>
    <t>5358405418244</t>
  </si>
  <si>
    <t>2026-09-15 09:27:13</t>
  </si>
  <si>
    <t>5359568041988</t>
  </si>
  <si>
    <t>2026-09-15 09:28:59</t>
  </si>
  <si>
    <t>5358688971012</t>
  </si>
  <si>
    <t>2026-09-15 09:35:08</t>
  </si>
  <si>
    <t>2026-09-15 09:52:47</t>
  </si>
  <si>
    <t>5358405863940</t>
  </si>
  <si>
    <t>2026-09-15 09:37:53</t>
  </si>
  <si>
    <t>5358076715012</t>
  </si>
  <si>
    <t>2026-09-15 09:38:08</t>
  </si>
  <si>
    <t>2026-09-15 09:34:11</t>
  </si>
  <si>
    <t>5358837930244</t>
  </si>
  <si>
    <t>2026-09-15 09:39:11</t>
  </si>
  <si>
    <t>5359480984324</t>
  </si>
  <si>
    <t>2026-09-15 09:42:45</t>
  </si>
  <si>
    <t>5357798260996</t>
  </si>
  <si>
    <t>2026-09-15 09:43:19</t>
  </si>
  <si>
    <t>2026-09-15 12:16:12</t>
  </si>
  <si>
    <t>5359571128068</t>
  </si>
  <si>
    <t>2026-09-15 09:44:54</t>
  </si>
  <si>
    <t>2026-09-15 09:53:38</t>
  </si>
  <si>
    <t>5358077169412</t>
  </si>
  <si>
    <t>2026-09-15 09:47:36</t>
  </si>
  <si>
    <t>5359571349764</t>
  </si>
  <si>
    <t>2026-09-15 09:53:46</t>
  </si>
  <si>
    <t>5359571355652</t>
  </si>
  <si>
    <t>2026-09-15 09:53:59</t>
  </si>
  <si>
    <t>5360303827716</t>
  </si>
  <si>
    <t>2026-09-15 09:54:47</t>
  </si>
  <si>
    <t>5359667898628</t>
  </si>
  <si>
    <t>2026-09-15 09:55:31</t>
  </si>
  <si>
    <t>5358271841284</t>
  </si>
  <si>
    <t>2026-09-15 09:56:17</t>
  </si>
  <si>
    <t>5359668137732</t>
  </si>
  <si>
    <t>2026-09-15 10:02:52</t>
  </si>
  <si>
    <t>2026-09-15 10:48:25</t>
  </si>
  <si>
    <t>5358867594756</t>
  </si>
  <si>
    <t>2026-09-15 10:07:35</t>
  </si>
  <si>
    <t>5359481845508</t>
  </si>
  <si>
    <t>2026-09-15 10:09:24</t>
  </si>
  <si>
    <t>5358867755780</t>
  </si>
  <si>
    <t>2026-09-15 10:11:15</t>
  </si>
  <si>
    <t>5358860381956</t>
  </si>
  <si>
    <t>2026-09-15 10:13:28</t>
  </si>
  <si>
    <t>5358717409540</t>
  </si>
  <si>
    <t>2026-09-15 10:14:25</t>
  </si>
  <si>
    <t>5358867896580</t>
  </si>
  <si>
    <t>2026-09-15 10:14:35</t>
  </si>
  <si>
    <t>2026-09-15 11:55:42</t>
  </si>
  <si>
    <t>5359843624196</t>
  </si>
  <si>
    <t>2026-09-15 10:14:37</t>
  </si>
  <si>
    <t>5359846451204</t>
  </si>
  <si>
    <t>2026-09-15 10:16:43</t>
  </si>
  <si>
    <t>5360304513796</t>
  </si>
  <si>
    <t>2026-09-15 10:17:02</t>
  </si>
  <si>
    <t>5358615056900</t>
  </si>
  <si>
    <t>2026-09-15 10:17:51</t>
  </si>
  <si>
    <t>2026-09-15 11:52:42</t>
  </si>
  <si>
    <t>5360304716036</t>
  </si>
  <si>
    <t>2026-09-15 10:23:16</t>
  </si>
  <si>
    <t>5359844055556</t>
  </si>
  <si>
    <t>2026-09-15 10:25:20</t>
  </si>
  <si>
    <t>5359496598788</t>
  </si>
  <si>
    <t>2026-09-15 10:31:10</t>
  </si>
  <si>
    <t>5358272998660</t>
  </si>
  <si>
    <t>2026-09-15 10:32:32</t>
  </si>
  <si>
    <t>2026-09-15 11:29:48</t>
  </si>
  <si>
    <t>5358868718596</t>
  </si>
  <si>
    <t>2026-09-15 10:33:41</t>
  </si>
  <si>
    <t>5358970905604</t>
  </si>
  <si>
    <t>2026-09-15 10:33:59</t>
  </si>
  <si>
    <t>5358419761156</t>
  </si>
  <si>
    <t>2026-09-15 10:34:32</t>
  </si>
  <si>
    <t>5359573825284</t>
  </si>
  <si>
    <t>2026-09-15 10:36:57</t>
  </si>
  <si>
    <t>5359847389700</t>
  </si>
  <si>
    <t>2026-09-15 10:38:09</t>
  </si>
  <si>
    <t>2026-09-15 11:15:05</t>
  </si>
  <si>
    <t>5359845308164</t>
  </si>
  <si>
    <t>2026-09-15 10:38:23</t>
  </si>
  <si>
    <t>F ORS-SP</t>
  </si>
  <si>
    <t>5359570823172</t>
  </si>
  <si>
    <t>2026-09-15 10:39:06</t>
  </si>
  <si>
    <t>5360412887812</t>
  </si>
  <si>
    <t>2026-09-15 10:39:39</t>
  </si>
  <si>
    <t>5359858612740</t>
  </si>
  <si>
    <t>2026-09-15 10:42:19</t>
  </si>
  <si>
    <t>5358725153284</t>
  </si>
  <si>
    <t>2026-09-15 10:43:20</t>
  </si>
  <si>
    <t>2026-09-15 10:57:12</t>
  </si>
  <si>
    <t>5359864547076</t>
  </si>
  <si>
    <t>2026-09-15 10:46:13</t>
  </si>
  <si>
    <t>2026-09-15 11:10:30</t>
  </si>
  <si>
    <t>5359858931972</t>
  </si>
  <si>
    <t>2026-09-15 10:50:38</t>
  </si>
  <si>
    <t>5359151654660</t>
  </si>
  <si>
    <t>2026-09-15 10:51:04</t>
  </si>
  <si>
    <t>2026-09-15 10:53:39</t>
  </si>
  <si>
    <t>5359858955268</t>
  </si>
  <si>
    <t>2026-09-15 10:51:15</t>
  </si>
  <si>
    <t>5359769891588</t>
  </si>
  <si>
    <t>2026-09-15 10:54:15</t>
  </si>
  <si>
    <t>5359684928772</t>
  </si>
  <si>
    <t>2026-09-15 10:54:26</t>
  </si>
  <si>
    <t>5359584492292</t>
  </si>
  <si>
    <t>2026-09-15 10:57:34</t>
  </si>
  <si>
    <t>5359146252804</t>
  </si>
  <si>
    <t>2026-09-15 11:00:07</t>
  </si>
  <si>
    <t>5358990581764</t>
  </si>
  <si>
    <t>2026-09-15 11:04:34</t>
  </si>
  <si>
    <t>2026-09-15 11:55:49</t>
  </si>
  <si>
    <t>5359584653572</t>
  </si>
  <si>
    <t>2026-09-15 11:05:02</t>
  </si>
  <si>
    <t>2026-09-15 11:20:33</t>
  </si>
  <si>
    <t>5359333310980</t>
  </si>
  <si>
    <t>2026-09-15 11:05:55</t>
  </si>
  <si>
    <t>2026-09-15 12:16:27</t>
  </si>
  <si>
    <t>5359612864516</t>
  </si>
  <si>
    <t>2026-09-15 11:06:11</t>
  </si>
  <si>
    <t>5358879108612</t>
  </si>
  <si>
    <t>2026-09-15 11:06:17</t>
  </si>
  <si>
    <t>5359864077316</t>
  </si>
  <si>
    <t>2026-09-15 11:10:28</t>
  </si>
  <si>
    <t>5359685453572</t>
  </si>
  <si>
    <t>2026-09-15 11:11:36</t>
  </si>
  <si>
    <t>5360103957508</t>
  </si>
  <si>
    <t>2026-09-15 11:15:20</t>
  </si>
  <si>
    <t>5359865804036</t>
  </si>
  <si>
    <t>2026-09-15 11:16:02</t>
  </si>
  <si>
    <t>5359703057668</t>
  </si>
  <si>
    <t>2026-09-15 11:16:28</t>
  </si>
  <si>
    <t>5358454330628</t>
  </si>
  <si>
    <t>2026-09-15 11:18:25</t>
  </si>
  <si>
    <t>5359530712580</t>
  </si>
  <si>
    <t>5358990958596</t>
  </si>
  <si>
    <t>2026-09-15 11:20:47</t>
  </si>
  <si>
    <t>5359333737988</t>
  </si>
  <si>
    <t>2026-09-15 11:25:03</t>
  </si>
  <si>
    <t>5358454656772</t>
  </si>
  <si>
    <t>2026-09-15 11:26:42</t>
  </si>
  <si>
    <t>2026-09-15 11:28:29</t>
  </si>
  <si>
    <t>5360049472772</t>
  </si>
  <si>
    <t>2026-09-15 11:32:48</t>
  </si>
  <si>
    <t>5360055740164</t>
  </si>
  <si>
    <t>2026-09-15 11:38:33</t>
  </si>
  <si>
    <t>5359153099012</t>
  </si>
  <si>
    <t>2026-09-15 11:46:37</t>
  </si>
  <si>
    <t>5358907678468</t>
  </si>
  <si>
    <t>2026-09-15 11:49:00</t>
  </si>
  <si>
    <t>5360671378692</t>
  </si>
  <si>
    <t>2026-09-15 11:49:55</t>
  </si>
  <si>
    <t>5359882809348</t>
  </si>
  <si>
    <t>2026-09-15 11:50:08</t>
  </si>
  <si>
    <t>5359169073156</t>
  </si>
  <si>
    <t>2026-09-15 11:50:33</t>
  </si>
  <si>
    <t>5359882839300</t>
  </si>
  <si>
    <t>2026-09-15 11:50:54</t>
  </si>
  <si>
    <t>2026-09-15 18:12:29</t>
  </si>
  <si>
    <t>2026-09-15 18:48:48</t>
  </si>
  <si>
    <t>2026-09-15 12:41:01</t>
  </si>
  <si>
    <t>2026-09-15 17:51:59</t>
  </si>
  <si>
    <t>2026-09-15 13:41:00</t>
  </si>
  <si>
    <t>2026-09-15 14:33:42</t>
  </si>
  <si>
    <t>2026-09-15 14:05:35</t>
  </si>
  <si>
    <t>2026-09-15 15:45:29</t>
  </si>
  <si>
    <t>2026-09-15 16:38:27</t>
  </si>
  <si>
    <t>2026-09-15 12:41:22</t>
  </si>
  <si>
    <t>2026-09-15 14:27:03</t>
  </si>
  <si>
    <t>2026-09-15 14:32:31</t>
  </si>
  <si>
    <t>2026-09-15 13:36:29</t>
  </si>
  <si>
    <t>2026-09-15 13:39:14</t>
  </si>
  <si>
    <t>2026-09-15 16:01:12</t>
  </si>
  <si>
    <t>2026-09-15 22:46:52</t>
  </si>
  <si>
    <t>2026-09-15 18:16:45</t>
  </si>
  <si>
    <t>2026-09-15 14:00:24</t>
  </si>
  <si>
    <t>2026-09-15 18:00:19</t>
  </si>
  <si>
    <t>2026-09-15 18:35:54</t>
  </si>
  <si>
    <t>2026-09-15 16:38:11</t>
  </si>
  <si>
    <t>2026-09-15 14:04:03</t>
  </si>
  <si>
    <t>2026-09-15 15:46:57</t>
  </si>
  <si>
    <t>2026-09-15 13:19:56</t>
  </si>
  <si>
    <t>2026-09-15 17:13:27</t>
  </si>
  <si>
    <t>2026-09-15 14:10:19</t>
  </si>
  <si>
    <t>2026-09-15 12:21:39</t>
  </si>
  <si>
    <t>2026-09-15 12:34:43</t>
  </si>
  <si>
    <t>2026-09-15 13:32:10</t>
  </si>
  <si>
    <t>2026-09-15 12:55:02</t>
  </si>
  <si>
    <t>2026-09-15 14:54:08</t>
  </si>
  <si>
    <t>2026-09-15 14:59:53</t>
  </si>
  <si>
    <t>2026-09-15 15:15:32</t>
  </si>
  <si>
    <t>2026-09-15 16:31:57</t>
  </si>
  <si>
    <t>2026-09-15 17:21:28</t>
  </si>
  <si>
    <t>2026-09-15 15:07:12</t>
  </si>
  <si>
    <t>2026-09-15 18:40:13</t>
  </si>
  <si>
    <t>2026-09-15 16:35:12</t>
  </si>
  <si>
    <t>2026-09-15 20:58:09</t>
  </si>
  <si>
    <t>2026-09-15 15:11:56</t>
  </si>
  <si>
    <t>2026-09-15 13:18:33</t>
  </si>
  <si>
    <t>2026-09-15 13:19:44</t>
  </si>
  <si>
    <t>2026-09-15 14:41:17</t>
  </si>
  <si>
    <t>2026-09-15 13:02:30</t>
  </si>
  <si>
    <t>2026-09-15 16:03:35</t>
  </si>
  <si>
    <t>2026-09-15 22:22:55</t>
  </si>
  <si>
    <t>2026-09-15 19:17:12</t>
  </si>
  <si>
    <t>2026-09-15 14:27:53</t>
  </si>
  <si>
    <t>2026-09-15 15:39:40</t>
  </si>
  <si>
    <t>2026-09-15 15:14:55</t>
  </si>
  <si>
    <t>2026-09-15 20:02:54</t>
  </si>
  <si>
    <t>2026-09-15 19:41:06</t>
  </si>
  <si>
    <t>2026-09-15 16:03:30</t>
  </si>
  <si>
    <t>2026-09-15 14:45:32</t>
  </si>
  <si>
    <t>2026-09-15 14:23:41</t>
  </si>
  <si>
    <t>2026-09-15 13:09:08</t>
  </si>
  <si>
    <t>2026-09-15 17:21:27</t>
  </si>
  <si>
    <t>2026-09-15 15:48:12</t>
  </si>
  <si>
    <t>2026-09-15 21:47:51</t>
  </si>
  <si>
    <t>2026-09-15 15:37:22</t>
  </si>
  <si>
    <t>2026-09-15 14:09:17</t>
  </si>
  <si>
    <t>2026-09-15 15:38:37</t>
  </si>
  <si>
    <t>2026-09-15 19:01:14</t>
  </si>
  <si>
    <t>2026-09-15 13:47:54</t>
  </si>
  <si>
    <t>2026-09-15 19:25:16</t>
  </si>
  <si>
    <t>2026-09-15 15:42:47</t>
  </si>
  <si>
    <t>2026-09-15 13:47:49</t>
  </si>
  <si>
    <t>2026-09-15 17:18:58</t>
  </si>
  <si>
    <t>2026-09-15 21:16:07</t>
  </si>
  <si>
    <t>2026-09-15 12:57:35</t>
  </si>
  <si>
    <t>2026-09-15 16:20:17</t>
  </si>
  <si>
    <t>2026-09-15 18:36:44</t>
  </si>
  <si>
    <t>5359876169988</t>
  </si>
  <si>
    <t>2026-09-15 11:59:11</t>
  </si>
  <si>
    <t>2026-09-15 20:54:56</t>
  </si>
  <si>
    <t>5358908048132</t>
  </si>
  <si>
    <t>2026-09-15 11:59:33</t>
  </si>
  <si>
    <t>2026-09-15 14:18:13</t>
  </si>
  <si>
    <t>5358900544772</t>
  </si>
  <si>
    <t>2026-09-15 12:06:08</t>
  </si>
  <si>
    <t>2026-09-15 19:11:27</t>
  </si>
  <si>
    <t>5360671773700</t>
  </si>
  <si>
    <t>2026-09-15 12:07:19</t>
  </si>
  <si>
    <t>2026-09-15 19:36:28</t>
  </si>
  <si>
    <t>5360232529924</t>
  </si>
  <si>
    <t>2026-09-15 12:13:26</t>
  </si>
  <si>
    <t>5359646951172</t>
  </si>
  <si>
    <t>2026-09-15 12:14:38</t>
  </si>
  <si>
    <t>5359719388164</t>
  </si>
  <si>
    <t>2026-09-15 12:19:29</t>
  </si>
  <si>
    <t>2026-09-15 14:20:03</t>
  </si>
  <si>
    <t>5359719409412</t>
  </si>
  <si>
    <t>2026-09-15 12:20:06</t>
  </si>
  <si>
    <t>2026-09-15 20:16:58</t>
  </si>
  <si>
    <t>5360377401604</t>
  </si>
  <si>
    <t>2026-09-15 12:20:24</t>
  </si>
  <si>
    <t>2026-09-15 15:24:33</t>
  </si>
  <si>
    <t>5358899515908</t>
  </si>
  <si>
    <t>2026-09-15 12:29:37</t>
  </si>
  <si>
    <t>5360377734916</t>
  </si>
  <si>
    <t>2026-09-15 12:31:30</t>
  </si>
  <si>
    <t>2026-09-15 13:11:06</t>
  </si>
  <si>
    <t>5359184525316</t>
  </si>
  <si>
    <t>2026-09-15 12:32:44</t>
  </si>
  <si>
    <t>2026-09-15 14:51:46</t>
  </si>
  <si>
    <t>5359535426820</t>
  </si>
  <si>
    <t>2026-09-15 12:33:53</t>
  </si>
  <si>
    <t>5361045625860</t>
  </si>
  <si>
    <t>2026-09-15 12:35:25</t>
  </si>
  <si>
    <t>2026-09-15 17:57:43</t>
  </si>
  <si>
    <t>5361045645572</t>
  </si>
  <si>
    <t>2026-09-15 12:36:35</t>
  </si>
  <si>
    <t>5359464868612</t>
  </si>
  <si>
    <t>2026-09-15 12:37:41</t>
  </si>
  <si>
    <t>2026-09-15 17:22:31</t>
  </si>
  <si>
    <t>5359655955204</t>
  </si>
  <si>
    <t>2026-09-15 12:39:24</t>
  </si>
  <si>
    <t>5359184789508</t>
  </si>
  <si>
    <t>2026-09-15 12:44:05</t>
  </si>
  <si>
    <t>2026-09-15 14:31:57</t>
  </si>
  <si>
    <t>5360378125828</t>
  </si>
  <si>
    <t>2026-09-15 12:49:04</t>
  </si>
  <si>
    <t>2026-09-15 17:33:35</t>
  </si>
  <si>
    <t>5361321129988</t>
  </si>
  <si>
    <t>2026-09-15 12:57:19</t>
  </si>
  <si>
    <t>5359562618116</t>
  </si>
  <si>
    <t>2026-09-15 13:00:30</t>
  </si>
  <si>
    <t>2026-09-15 16:00:49</t>
  </si>
  <si>
    <t>5360460001540</t>
  </si>
  <si>
    <t>2026-09-15 13:01:25</t>
  </si>
  <si>
    <t>5360862661636</t>
  </si>
  <si>
    <t>2026-09-15 13:07:49</t>
  </si>
  <si>
    <t>2026-09-15 14:02:19</t>
  </si>
  <si>
    <t>5360382917892</t>
  </si>
  <si>
    <t>2026-09-15 13:11:26</t>
  </si>
  <si>
    <t>5360718816516</t>
  </si>
  <si>
    <t>2026-09-15 13:11:46</t>
  </si>
  <si>
    <t>5360257002244</t>
  </si>
  <si>
    <t>2026-09-15 13:18:45</t>
  </si>
  <si>
    <t>5360714241284</t>
  </si>
  <si>
    <t>2026-09-15 13:23:55</t>
  </si>
  <si>
    <t>5361778490884</t>
  </si>
  <si>
    <t>2026-09-15 13:25:39</t>
  </si>
  <si>
    <t>2026-09-15 18:11:54</t>
  </si>
  <si>
    <t>5361318500612</t>
  </si>
  <si>
    <t>2026-09-15 13:28:30</t>
  </si>
  <si>
    <t>5362007125252</t>
  </si>
  <si>
    <t>2026-09-15 13:39:01</t>
  </si>
  <si>
    <t>2026-09-15 16:44:59</t>
  </si>
  <si>
    <t>5361778826244</t>
  </si>
  <si>
    <t>2026-09-15 13:40:30</t>
  </si>
  <si>
    <t>2026-09-15 17:42:48</t>
  </si>
  <si>
    <t>5360961852164</t>
  </si>
  <si>
    <t>2026-09-15 13:44:40</t>
  </si>
  <si>
    <t>5360481470212</t>
  </si>
  <si>
    <t>2026-09-15 13:47:00</t>
  </si>
  <si>
    <t>2026-09-15 16:48:48</t>
  </si>
  <si>
    <t>5359735943428</t>
  </si>
  <si>
    <t>2026-09-15 13:48:14</t>
  </si>
  <si>
    <t>5359735970052</t>
  </si>
  <si>
    <t>2026-09-15 13:49:15</t>
  </si>
  <si>
    <t>5359736103684</t>
  </si>
  <si>
    <t>2026-09-15 13:54:19</t>
  </si>
  <si>
    <t>2026-09-15 18:15:01</t>
  </si>
  <si>
    <t>5360481640964</t>
  </si>
  <si>
    <t>2026-09-15 13:55:25</t>
  </si>
  <si>
    <t>5360958621956</t>
  </si>
  <si>
    <t>2026-09-15 13:56:27</t>
  </si>
  <si>
    <t>2026-09-15 15:40:38</t>
  </si>
  <si>
    <t>5362007604484</t>
  </si>
  <si>
    <t>2026-09-15 13:58:37</t>
  </si>
  <si>
    <t>5360270689796</t>
  </si>
  <si>
    <t>2026-09-15 13:59:07</t>
  </si>
  <si>
    <t>5362007645700</t>
  </si>
  <si>
    <t>2026-09-15 14:00:09</t>
  </si>
  <si>
    <t>5361688820484</t>
  </si>
  <si>
    <t>2026-09-15 14:03:58</t>
  </si>
  <si>
    <t>5359927496708</t>
  </si>
  <si>
    <t>2026-09-15 14:04:27</t>
  </si>
  <si>
    <t>5360959019780</t>
  </si>
  <si>
    <t>2026-09-15 14:05:38</t>
  </si>
  <si>
    <t>2026-09-15 14:38:54</t>
  </si>
  <si>
    <t>5359916395524</t>
  </si>
  <si>
    <t>2026-09-15 14:05:43</t>
  </si>
  <si>
    <t>5361525356292</t>
  </si>
  <si>
    <t>2026-09-15 14:10:09</t>
  </si>
  <si>
    <t>2026-09-15 16:32:27</t>
  </si>
  <si>
    <t>5359734840836</t>
  </si>
  <si>
    <t>2026-09-15 14:13:43</t>
  </si>
  <si>
    <t>2026-09-15 16:32:15</t>
  </si>
  <si>
    <t>5359734866436</t>
  </si>
  <si>
    <t>2026-09-15 14:14:40</t>
  </si>
  <si>
    <t>5359734913796</t>
  </si>
  <si>
    <t>2026-09-15 14:17:24</t>
  </si>
  <si>
    <t>5361257717252</t>
  </si>
  <si>
    <t>2026-09-15 14:22:55</t>
  </si>
  <si>
    <t>5361706588676</t>
  </si>
  <si>
    <t>2026-09-15 14:25:37</t>
  </si>
  <si>
    <t>5360935383556</t>
  </si>
  <si>
    <t>2026-09-15 14:32:25</t>
  </si>
  <si>
    <t>5360652868612</t>
  </si>
  <si>
    <t>2026-09-15 14:32:35</t>
  </si>
  <si>
    <t>2026-09-15 17:29:59</t>
  </si>
  <si>
    <t>5361258014212</t>
  </si>
  <si>
    <t>2026-09-15 14:36:46</t>
  </si>
  <si>
    <t>5359928451844</t>
  </si>
  <si>
    <t>2026-09-15 14:41:07</t>
  </si>
  <si>
    <t>2026-09-15 17:37:51</t>
  </si>
  <si>
    <t>5360935766276</t>
  </si>
  <si>
    <t>2026-09-15 14:48:59</t>
  </si>
  <si>
    <t>2026-09-15 16:46:29</t>
  </si>
  <si>
    <t>5360640709380</t>
  </si>
  <si>
    <t>2026-09-15 14:53:53</t>
  </si>
  <si>
    <t>5360663094276</t>
  </si>
  <si>
    <t>2026-09-15 14:54:22</t>
  </si>
  <si>
    <t>2026-09-15 18:42:30</t>
  </si>
  <si>
    <t>5361548707844</t>
  </si>
  <si>
    <t>2026-09-15 15:07:07</t>
  </si>
  <si>
    <t>2026-09-15 16:21:06</t>
  </si>
  <si>
    <t>5361359543300</t>
  </si>
  <si>
    <t>2026-09-15 15:21:24</t>
  </si>
  <si>
    <t>2026-09-15 17:43:06</t>
  </si>
  <si>
    <t>5362885815812</t>
  </si>
  <si>
    <t>2026-09-15 15:22:46</t>
  </si>
  <si>
    <t>2026-09-15 19:42:04</t>
  </si>
  <si>
    <t>5362036716036</t>
  </si>
  <si>
    <t>2026-09-15 15:26:16</t>
  </si>
  <si>
    <t>5361553821956</t>
  </si>
  <si>
    <t>2026-09-15 15:28:31</t>
  </si>
  <si>
    <t>5359917754116</t>
  </si>
  <si>
    <t>2026-09-15 15:30:32</t>
  </si>
  <si>
    <t>2026-09-15 19:17:36</t>
  </si>
  <si>
    <t>5361798040580</t>
  </si>
  <si>
    <t>2026-09-15 15:34:17</t>
  </si>
  <si>
    <t>2026-09-15 17:25:43</t>
  </si>
  <si>
    <t>5361264649220</t>
  </si>
  <si>
    <t>2026-09-15 15:36:01</t>
  </si>
  <si>
    <t>2026-09-15 16:53:56</t>
  </si>
  <si>
    <t>5361293084164</t>
  </si>
  <si>
    <t>2026-09-15 15:36:46</t>
  </si>
  <si>
    <t>5362886029316</t>
  </si>
  <si>
    <t>2026-09-15 15:37:20</t>
  </si>
  <si>
    <t>2026-09-15 16:06:05</t>
  </si>
  <si>
    <t>5360296764420</t>
  </si>
  <si>
    <t>2026-09-15 15:38:07</t>
  </si>
  <si>
    <t>5361847690244</t>
  </si>
  <si>
    <t>2026-09-15 15:42:32</t>
  </si>
  <si>
    <t>5360999507972</t>
  </si>
  <si>
    <t>2026-09-15 15:43:51</t>
  </si>
  <si>
    <t>5359917909508</t>
  </si>
  <si>
    <t>2026-09-15 15:46:24</t>
  </si>
  <si>
    <t>5362044841220</t>
  </si>
  <si>
    <t>2026-09-15 15:50:49</t>
  </si>
  <si>
    <t>2026-09-15 16:44:05</t>
  </si>
  <si>
    <t>5360664118276</t>
  </si>
  <si>
    <t>2026-09-15 15:55:19</t>
  </si>
  <si>
    <t>5362045089540</t>
  </si>
  <si>
    <t>2026-09-15 16:02:22</t>
  </si>
  <si>
    <t>2026-09-15 18:06:41</t>
  </si>
  <si>
    <t>5360302056452</t>
  </si>
  <si>
    <t>2026-09-15 16:05:18</t>
  </si>
  <si>
    <t>2026-09-15 16:10:14</t>
  </si>
  <si>
    <t>5362794511364</t>
  </si>
  <si>
    <t>2026-09-15 16:13:43</t>
  </si>
  <si>
    <t>2026-09-15 19:51:49</t>
  </si>
  <si>
    <t>5362384969476</t>
  </si>
  <si>
    <t>2026-09-15 16:15:03</t>
  </si>
  <si>
    <t>2026-09-15 20:11:27</t>
  </si>
  <si>
    <t>5361389140740</t>
  </si>
  <si>
    <t>2026-09-15 16:17:48</t>
  </si>
  <si>
    <t>5362934137348</t>
  </si>
  <si>
    <t>2026-09-15 16:23:39</t>
  </si>
  <si>
    <t>2026-09-15 19:07:41</t>
  </si>
  <si>
    <t>5362700832260</t>
  </si>
  <si>
    <t>2026-09-15 16:26:14</t>
  </si>
  <si>
    <t>2026-09-15 18:03:13</t>
  </si>
  <si>
    <t>5361033900804</t>
  </si>
  <si>
    <t>2026-09-15 16:31:56</t>
  </si>
  <si>
    <t>2026-09-15 17:08:25</t>
  </si>
  <si>
    <t>5362794998276</t>
  </si>
  <si>
    <t>2026-09-15 16:54:38</t>
  </si>
  <si>
    <t>5361034385668</t>
  </si>
  <si>
    <t>2026-09-15 16:58:58</t>
  </si>
  <si>
    <t>5361383297284</t>
  </si>
  <si>
    <t>2026-09-15 17:00:46</t>
  </si>
  <si>
    <t>2026-09-15 17:09:52</t>
  </si>
  <si>
    <t>5362270849540</t>
  </si>
  <si>
    <t>2026-09-15 17:07:24</t>
  </si>
  <si>
    <t>5362124977412</t>
  </si>
  <si>
    <t>2026-09-15 17:08:51</t>
  </si>
  <si>
    <t>5361034617348</t>
  </si>
  <si>
    <t>2026-09-15 17:08:52</t>
  </si>
  <si>
    <t>2026-09-15 18:59:33</t>
  </si>
  <si>
    <t>5362586043140</t>
  </si>
  <si>
    <t>2026-09-15 17:29:00</t>
  </si>
  <si>
    <t>2026-09-15 19:45:33</t>
  </si>
  <si>
    <t>5362720953348</t>
  </si>
  <si>
    <t>2026-09-15 17:41:09</t>
  </si>
  <si>
    <t>2026-09-15 17:46:33</t>
  </si>
  <si>
    <t>5361037359620</t>
  </si>
  <si>
    <t>5363625100292</t>
  </si>
  <si>
    <t>2026-09-15 17:49:49</t>
  </si>
  <si>
    <t>2026-09-15 19:41:27</t>
  </si>
  <si>
    <t>5361314264068</t>
  </si>
  <si>
    <t>2026-09-15 17:50:48</t>
  </si>
  <si>
    <t>5363808845828</t>
  </si>
  <si>
    <t>2026-09-15 17:59:41</t>
  </si>
  <si>
    <t>2026-09-15 21:34:27</t>
  </si>
  <si>
    <t>5363451130116</t>
  </si>
  <si>
    <t>2026-09-15 18:10:34</t>
  </si>
  <si>
    <t>2026-09-15 19:02:52</t>
  </si>
  <si>
    <t>5363625442564</t>
  </si>
  <si>
    <t>2026-09-15 18:23:38</t>
  </si>
  <si>
    <t>5363821077252</t>
  </si>
  <si>
    <t>2026-09-15 18:40:02</t>
  </si>
  <si>
    <t>2026-09-15 19:32:09</t>
  </si>
  <si>
    <t>5362662648324</t>
  </si>
  <si>
    <t>2026-09-15 18:44:52</t>
  </si>
  <si>
    <t>5363550495236</t>
  </si>
  <si>
    <t>2026-09-15 19:17:50</t>
  </si>
  <si>
    <t>2026-09-15 19:45:48</t>
  </si>
  <si>
    <t>5363550530052</t>
  </si>
  <si>
    <t>2026-09-15 19:20:22</t>
  </si>
  <si>
    <t>2026-09-15 20:18:59</t>
  </si>
  <si>
    <t>5363550578180</t>
  </si>
  <si>
    <t>2026-09-15 19:24:22</t>
  </si>
  <si>
    <t>5362959160580</t>
  </si>
  <si>
    <t>2026-09-15 19:30:58</t>
  </si>
  <si>
    <t>2026-09-15 20:25:14</t>
  </si>
  <si>
    <t>5362743761668</t>
  </si>
  <si>
    <t>2026-09-15 19:45:10</t>
  </si>
  <si>
    <t>5362839570948</t>
  </si>
  <si>
    <t>2026-09-15 20:07:44</t>
  </si>
  <si>
    <t>5364267030788</t>
  </si>
  <si>
    <t>2026-09-15 20:49:10</t>
  </si>
  <si>
    <t>5362764017156</t>
  </si>
  <si>
    <t>2026-09-15 20:50:58</t>
  </si>
  <si>
    <t>5362303333380</t>
  </si>
  <si>
    <t>2026-09-15 21:12:09</t>
  </si>
  <si>
    <t>5364110886148</t>
  </si>
  <si>
    <t>2026-09-15 21:35:33</t>
  </si>
  <si>
    <t>5363973640452</t>
  </si>
  <si>
    <t>2026-09-15 21:39:25</t>
  </si>
  <si>
    <t>5364549651460</t>
  </si>
  <si>
    <t>2026-09-15 21:46:18</t>
  </si>
  <si>
    <t>5363863971588</t>
  </si>
  <si>
    <t>2026-09-15 21:51:03</t>
  </si>
  <si>
    <t>5364220911108</t>
  </si>
  <si>
    <t>2026-09-15 21:53:37</t>
  </si>
  <si>
    <t>5364132118020</t>
  </si>
  <si>
    <t>Em processamento|处理中</t>
  </si>
  <si>
    <t>2026-09-15 21:55:38</t>
  </si>
  <si>
    <t>5365013489156</t>
  </si>
  <si>
    <t>2026-09-15 21:59:20</t>
  </si>
  <si>
    <t>5364396552964</t>
  </si>
  <si>
    <t>2026-09-15 22:00:26</t>
  </si>
  <si>
    <t>5364140241668</t>
  </si>
  <si>
    <t>2026-09-15 22:14:56</t>
  </si>
  <si>
    <t>5364332804356</t>
  </si>
  <si>
    <t>2026-09-15 22:15:22</t>
  </si>
  <si>
    <t>5363696745732</t>
  </si>
  <si>
    <t>2026-09-15 22:28:38</t>
  </si>
  <si>
    <t>5364342264068</t>
  </si>
  <si>
    <t>2026-09-15 22:47:19</t>
  </si>
  <si>
    <t>5363695851012</t>
  </si>
  <si>
    <t>2026-09-15 22:52:46</t>
  </si>
  <si>
    <t>5364785118980</t>
  </si>
  <si>
    <t>2026-09-15 23:03:22</t>
  </si>
  <si>
    <t>2026-09-16 08:19:25</t>
  </si>
  <si>
    <t>5366148545540</t>
  </si>
  <si>
    <t>2026-09-15 23:23:36</t>
  </si>
  <si>
    <t>5367038497284</t>
  </si>
  <si>
    <t>2026-09-16 00:15:56</t>
  </si>
  <si>
    <t>5367233652228</t>
  </si>
  <si>
    <t>2026-09-16 00:55:49</t>
  </si>
  <si>
    <t>5372659668996</t>
  </si>
  <si>
    <t>2026-09-16 05:52:46</t>
  </si>
  <si>
    <t>5372394053892</t>
  </si>
  <si>
    <t>2026-09-16 06:01:15</t>
  </si>
  <si>
    <t>5371689118724</t>
  </si>
  <si>
    <t>2026-09-16 06:21:17</t>
  </si>
  <si>
    <t>5372845751044</t>
  </si>
  <si>
    <t>2026-09-16 06:26:24</t>
  </si>
  <si>
    <t>5373393558276</t>
  </si>
  <si>
    <t>2026-09-16 06:37:46</t>
  </si>
  <si>
    <t>5372873227268</t>
  </si>
  <si>
    <t>2026-09-16 06:52:04</t>
  </si>
  <si>
    <t>5372693657860</t>
  </si>
  <si>
    <t>2026-09-16 06:53:34</t>
  </si>
  <si>
    <t>5373394120196</t>
  </si>
  <si>
    <t>2026-09-16 06:56:41</t>
  </si>
  <si>
    <t>5372355528964</t>
  </si>
  <si>
    <t>2026-09-16 07:04:21</t>
  </si>
  <si>
    <t>5372873915396</t>
  </si>
  <si>
    <t>2026-09-16 07:12:11</t>
  </si>
  <si>
    <t>5372874052868</t>
  </si>
  <si>
    <t>2026-09-16 07:16:46</t>
  </si>
  <si>
    <t>5372905043716</t>
  </si>
  <si>
    <t>2026-09-16 07:24:21</t>
  </si>
  <si>
    <t>5373136609540</t>
  </si>
  <si>
    <t>2026-09-16 07:36:02</t>
  </si>
  <si>
    <t>5374131736836</t>
  </si>
  <si>
    <t>2026-09-16 07:38:02</t>
  </si>
  <si>
    <t>5374312660996</t>
  </si>
  <si>
    <t>2026-09-16 07:38:52</t>
  </si>
  <si>
    <t>5374043403012</t>
  </si>
  <si>
    <t>2026-09-16 07:50:04</t>
  </si>
  <si>
    <t>5372804408580</t>
  </si>
  <si>
    <t>2026-09-16 07:50:51</t>
  </si>
  <si>
    <t>5374046709764</t>
  </si>
  <si>
    <t>2026-09-16 07:52:47</t>
  </si>
  <si>
    <t>5373865904132</t>
  </si>
  <si>
    <t>2026-09-16 07:53:17</t>
  </si>
  <si>
    <t>5372906227972</t>
  </si>
  <si>
    <t>2026-09-16 07:58:06</t>
  </si>
  <si>
    <t>5373004946692</t>
  </si>
  <si>
    <t>2026-09-16 07:59:31</t>
  </si>
  <si>
    <t>5373005007620</t>
  </si>
  <si>
    <t>2026-09-16 08:01:44</t>
  </si>
  <si>
    <t>5374067943172</t>
  </si>
  <si>
    <t>2026-09-16 08:06:16</t>
  </si>
  <si>
    <t>5374042732804</t>
  </si>
  <si>
    <t>2026-09-16 08:08:36</t>
  </si>
  <si>
    <t>5374047314180</t>
  </si>
  <si>
    <t>2026-09-16 08:09:00</t>
  </si>
  <si>
    <t>2026-09-16 08:45:26</t>
  </si>
  <si>
    <t>2026-09-16 11:05:56</t>
  </si>
  <si>
    <t>2026-09-16 09:31:31</t>
  </si>
  <si>
    <t>2026-09-16 08:46:25</t>
  </si>
  <si>
    <t>2026-09-16 10:35:17</t>
  </si>
  <si>
    <t>2026-09-16 11:46:02</t>
  </si>
  <si>
    <t>2026-09-16 08:30:17</t>
  </si>
  <si>
    <t>2026-09-16 11:27:10</t>
  </si>
  <si>
    <t>2026-09-16 11:28:46</t>
  </si>
  <si>
    <t>2026-09-16 10:44:31</t>
  </si>
  <si>
    <t>2026-09-16 10:33:31</t>
  </si>
  <si>
    <t>2026-09-16 10:28:50</t>
  </si>
  <si>
    <t>5370931550212</t>
  </si>
  <si>
    <t>2026-09-16 04:28:21</t>
  </si>
  <si>
    <t>5373617024516</t>
  </si>
  <si>
    <t>2026-09-16 08:17:45</t>
  </si>
  <si>
    <t>5373343666692</t>
  </si>
  <si>
    <t>2026-09-16 08:22:05</t>
  </si>
  <si>
    <t>5373636668164</t>
  </si>
  <si>
    <t>2026-09-16 08:22:10</t>
  </si>
  <si>
    <t>2026-09-16 09:28:26</t>
  </si>
  <si>
    <t>5374242591748</t>
  </si>
  <si>
    <t>2026-09-16 08:23:48</t>
  </si>
  <si>
    <t>5374068902148</t>
  </si>
  <si>
    <t>2026-09-16 08:24:01</t>
  </si>
  <si>
    <t>5374347751172</t>
  </si>
  <si>
    <t>2026-09-16 08:24:52</t>
  </si>
  <si>
    <t>2026-09-16 11:40:39</t>
  </si>
  <si>
    <t>5373699764996</t>
  </si>
  <si>
    <t>2026-09-16 08:28:09</t>
  </si>
  <si>
    <t>5374242754564</t>
  </si>
  <si>
    <t>2026-09-16 08:28:29</t>
  </si>
  <si>
    <t>5373453975556</t>
  </si>
  <si>
    <t>2026-09-16 08:29:08</t>
  </si>
  <si>
    <t>5373358947332</t>
  </si>
  <si>
    <t>2026-09-16 08:34:02</t>
  </si>
  <si>
    <t>5373631072004</t>
  </si>
  <si>
    <t>2026-09-16 08:34:48</t>
  </si>
  <si>
    <t>5373637580804</t>
  </si>
  <si>
    <t>2026-09-16 08:41:07</t>
  </si>
  <si>
    <t>5374784375300</t>
  </si>
  <si>
    <t>2026-09-16 08:42:50</t>
  </si>
  <si>
    <t>5373655029508</t>
  </si>
  <si>
    <t>2026-09-16 08:46:28</t>
  </si>
  <si>
    <t>5373934179076</t>
  </si>
  <si>
    <t>2026-09-16 08:47:44</t>
  </si>
  <si>
    <t>5374348626436</t>
  </si>
  <si>
    <t>2026-09-16 08:47:55</t>
  </si>
  <si>
    <t>5373932848900</t>
  </si>
  <si>
    <t>2026-09-16 08:48:44</t>
  </si>
  <si>
    <t>5374803995140</t>
  </si>
  <si>
    <t>2026-09-16 08:49:35</t>
  </si>
  <si>
    <t>2026-09-16 11:15:26</t>
  </si>
  <si>
    <t>5374071917060</t>
  </si>
  <si>
    <t>2026-09-16 08:50:03</t>
  </si>
  <si>
    <t>5374082387972</t>
  </si>
  <si>
    <t>2026-09-16 08:50:32</t>
  </si>
  <si>
    <t>5373454743044</t>
  </si>
  <si>
    <t>2026-09-16 08:51:44</t>
  </si>
  <si>
    <t>5374297022980</t>
  </si>
  <si>
    <t>2026-09-16 08:53:23</t>
  </si>
  <si>
    <t>2026-09-16 11:27:45</t>
  </si>
  <si>
    <t>5373646088708</t>
  </si>
  <si>
    <t>2026-09-16 08:53:31</t>
  </si>
  <si>
    <t>5374072225540</t>
  </si>
  <si>
    <t>2026-09-16 08:59:18</t>
  </si>
  <si>
    <t>5374701177348</t>
  </si>
  <si>
    <t>2026-09-16 09:00:13</t>
  </si>
  <si>
    <t>5374804422404</t>
  </si>
  <si>
    <t>2026-09-16 09:02:53</t>
  </si>
  <si>
    <t>5373353306884</t>
  </si>
  <si>
    <t>2026-09-16 09:06:31</t>
  </si>
  <si>
    <t>5374701429252</t>
  </si>
  <si>
    <t>2026-09-16 09:06:57</t>
  </si>
  <si>
    <t>5373191006980</t>
  </si>
  <si>
    <t>2026-09-16 09:11:26</t>
  </si>
  <si>
    <t>2026-09-16 11:46:42</t>
  </si>
  <si>
    <t>5373197069572</t>
  </si>
  <si>
    <t>2026-09-16 09:11:39</t>
  </si>
  <si>
    <t>5373197080836</t>
  </si>
  <si>
    <t>2026-09-16 09:11:55</t>
  </si>
  <si>
    <t>5374297589252</t>
  </si>
  <si>
    <t>2026-09-16 09:13:45</t>
  </si>
  <si>
    <t>5373179814404</t>
  </si>
  <si>
    <t>2026-09-16 09:16:44</t>
  </si>
  <si>
    <t>5374701869828</t>
  </si>
  <si>
    <t>2026-09-16 09:20:24</t>
  </si>
  <si>
    <t>5374701887748</t>
  </si>
  <si>
    <t>2026-09-16 09:21:14</t>
  </si>
  <si>
    <t>5374198335492</t>
  </si>
  <si>
    <t>2026-09-16 09:21:19</t>
  </si>
  <si>
    <t>2026-09-16 10:03:42</t>
  </si>
  <si>
    <t>5374623503620</t>
  </si>
  <si>
    <t>2026-09-16 09:21:41</t>
  </si>
  <si>
    <t>5374198348292</t>
  </si>
  <si>
    <t>2026-09-16 09:21:47</t>
  </si>
  <si>
    <t>5374969112068</t>
  </si>
  <si>
    <t>2026-09-16 09:23:29</t>
  </si>
  <si>
    <t>2026-09-16 11:00:14</t>
  </si>
  <si>
    <t>5375072493572</t>
  </si>
  <si>
    <t>2026-09-16 09:23:52</t>
  </si>
  <si>
    <t>5375072514308</t>
  </si>
  <si>
    <t>2026-09-16 09:24:42</t>
  </si>
  <si>
    <t>5373935271684</t>
  </si>
  <si>
    <t>2026-09-16 09:25:13</t>
  </si>
  <si>
    <t>5373939491332</t>
  </si>
  <si>
    <t>2026-09-16 09:25:42</t>
  </si>
  <si>
    <t>5374198476804</t>
  </si>
  <si>
    <t>2026-09-16 09:26:02</t>
  </si>
  <si>
    <t>5374702041092</t>
  </si>
  <si>
    <t>2026-09-16 09:26:12</t>
  </si>
  <si>
    <t>2026-09-16 10:56:41</t>
  </si>
  <si>
    <t>5374711813636</t>
  </si>
  <si>
    <t>2026-09-16 09:26:39</t>
  </si>
  <si>
    <t>5373935359492</t>
  </si>
  <si>
    <t>2026-09-16 09:28:57</t>
  </si>
  <si>
    <t>5374976344580</t>
  </si>
  <si>
    <t>2026-09-16 09:28:59</t>
  </si>
  <si>
    <t>5373380176644</t>
  </si>
  <si>
    <t>2026-09-16 09:34:45</t>
  </si>
  <si>
    <t>5374198809860</t>
  </si>
  <si>
    <t>2026-09-16 09:35:52</t>
  </si>
  <si>
    <t>5375077093892</t>
  </si>
  <si>
    <t>2026-09-16 09:42:48</t>
  </si>
  <si>
    <t>5375616057860</t>
  </si>
  <si>
    <t>2026-09-16 09:43:24</t>
  </si>
  <si>
    <t>5375602707716</t>
  </si>
  <si>
    <t>2026-09-16 09:44:16</t>
  </si>
  <si>
    <t>5374100971524</t>
  </si>
  <si>
    <t>2026-09-16 09:51:13</t>
  </si>
  <si>
    <t>5375344530436</t>
  </si>
  <si>
    <t>2026-09-16 09:52:25</t>
  </si>
  <si>
    <t>5375073214468</t>
  </si>
  <si>
    <t>2026-09-16 09:54:45</t>
  </si>
  <si>
    <t>5374651817988</t>
  </si>
  <si>
    <t>2026-09-16 09:54:50</t>
  </si>
  <si>
    <t>5374386899716</t>
  </si>
  <si>
    <t>2026-09-16 09:57:36</t>
  </si>
  <si>
    <t>5373380908292</t>
  </si>
  <si>
    <t>2026-09-16 10:01:19</t>
  </si>
  <si>
    <t>5374652133892</t>
  </si>
  <si>
    <t>2026-09-16 10:02:11</t>
  </si>
  <si>
    <t>5375611995396</t>
  </si>
  <si>
    <t>2026-09-16 10:02:39</t>
  </si>
  <si>
    <t>5374387131396</t>
  </si>
  <si>
    <t>2026-09-16 10:04:36</t>
  </si>
  <si>
    <t>5374387183108</t>
  </si>
  <si>
    <t>2026-09-16 10:06:56</t>
  </si>
  <si>
    <t>5374905535492</t>
  </si>
  <si>
    <t>2026-09-16 10:10:21</t>
  </si>
  <si>
    <t>5374204060676</t>
  </si>
  <si>
    <t>2026-09-16 10:10:45</t>
  </si>
  <si>
    <t>5374113824516</t>
  </si>
  <si>
    <t>2026-09-16 10:11:11</t>
  </si>
  <si>
    <t>5374909801476</t>
  </si>
  <si>
    <t>2026-09-16 10:11:46</t>
  </si>
  <si>
    <t>2026-09-16 11:16:17</t>
  </si>
  <si>
    <t>5375888351748</t>
  </si>
  <si>
    <t>2026-09-16 10:12:34</t>
  </si>
  <si>
    <t>2026-09-16 11:31:10</t>
  </si>
  <si>
    <t>5375617287428</t>
  </si>
  <si>
    <t>2026-09-16 10:12:40</t>
  </si>
  <si>
    <t>5374909927684</t>
  </si>
  <si>
    <t>2026-09-16 10:16:55</t>
  </si>
  <si>
    <t>5374862065924</t>
  </si>
  <si>
    <t>2026-09-16 10:20:54</t>
  </si>
  <si>
    <t>2026-09-16 11:33:45</t>
  </si>
  <si>
    <t>5375522638852</t>
  </si>
  <si>
    <t>2026-09-16 10:23:02</t>
  </si>
  <si>
    <t>5374115743492</t>
  </si>
  <si>
    <t>2026-09-16 10:29:33</t>
  </si>
  <si>
    <t>5375888840452</t>
  </si>
  <si>
    <t>2026-09-16 10:32:09</t>
  </si>
  <si>
    <t>5375017523716</t>
  </si>
  <si>
    <t>2026-09-16 10:32:39</t>
  </si>
  <si>
    <t>5375447475716</t>
  </si>
  <si>
    <t>2026-09-16 10:33:45</t>
  </si>
  <si>
    <t>5375017564164</t>
  </si>
  <si>
    <t>2026-09-16 10:34:08</t>
  </si>
  <si>
    <t>5374931003652</t>
  </si>
  <si>
    <t>2026-09-16 10:36:36</t>
  </si>
  <si>
    <t>5374116024580</t>
  </si>
  <si>
    <t>2026-09-16 10:38:50</t>
  </si>
  <si>
    <t>2026-09-16 11:02:04</t>
  </si>
  <si>
    <t>5376337953796</t>
  </si>
  <si>
    <t>2026-09-16 10:41:31</t>
  </si>
  <si>
    <t>5376077140740</t>
  </si>
  <si>
    <t>2026-09-16 10:42:01</t>
  </si>
  <si>
    <t>5375887628548</t>
  </si>
  <si>
    <t>2026-09-16 10:45:43</t>
  </si>
  <si>
    <t>5374124270084</t>
  </si>
  <si>
    <t>2026-09-16 10:48:02</t>
  </si>
  <si>
    <t>5375106800132</t>
  </si>
  <si>
    <t>2026-09-16 10:54:56</t>
  </si>
  <si>
    <t>5376077621764</t>
  </si>
  <si>
    <t>2026-09-16 10:56:55</t>
  </si>
  <si>
    <t>5376353285892</t>
  </si>
  <si>
    <t>2026-09-16 11:01:37</t>
  </si>
  <si>
    <t>5376344742916</t>
  </si>
  <si>
    <t>2026-09-16 11:02:16</t>
  </si>
  <si>
    <t>F PRJ-SP</t>
  </si>
  <si>
    <t>5375627919108</t>
  </si>
  <si>
    <t>2026-09-16 11:03:06</t>
  </si>
  <si>
    <t>5374915352580</t>
  </si>
  <si>
    <t>2026-09-16 11:03:48</t>
  </si>
  <si>
    <t>5374770299140</t>
  </si>
  <si>
    <t>2026-09-16 11:12:16</t>
  </si>
  <si>
    <t>5375046197764</t>
  </si>
  <si>
    <t>2026-09-16 11:13:57</t>
  </si>
  <si>
    <t>2026-09-16 11:39:51</t>
  </si>
  <si>
    <t>5375931454980</t>
  </si>
  <si>
    <t>2026-09-16 11:15:00</t>
  </si>
  <si>
    <t>5375628231172</t>
  </si>
  <si>
    <t>2026-09-16 11:15:10</t>
  </si>
  <si>
    <t>5375466036996</t>
  </si>
  <si>
    <t>2026-09-16 11:17:35</t>
  </si>
  <si>
    <t>5375931548420</t>
  </si>
  <si>
    <t>2026-09-16 11:18:35</t>
  </si>
  <si>
    <t>5376090831620</t>
  </si>
  <si>
    <t>2026-09-16 11:22:20</t>
  </si>
  <si>
    <t>5375641097220</t>
  </si>
  <si>
    <t>2026-09-16 11:24:48</t>
  </si>
  <si>
    <t>5375834847492</t>
  </si>
  <si>
    <t>2026-09-16 11:25:24</t>
  </si>
  <si>
    <t>5375916649220</t>
  </si>
  <si>
    <t>2026-09-16 11:25:32</t>
  </si>
  <si>
    <t>5375931802884</t>
  </si>
  <si>
    <t>2026-09-16 11:28:13</t>
  </si>
  <si>
    <t>5374770961924</t>
  </si>
  <si>
    <t>2026-09-16 11:30:21</t>
  </si>
  <si>
    <t>5374771055364</t>
  </si>
  <si>
    <t>2026-09-16 11:33:11</t>
  </si>
  <si>
    <t>5374771080196</t>
  </si>
  <si>
    <t>2026-09-16 11:34:00</t>
  </si>
  <si>
    <t>5375955631876</t>
  </si>
  <si>
    <t>2026-09-16 11:36:10</t>
  </si>
  <si>
    <t>5376091525124</t>
  </si>
  <si>
    <t>2026-09-16 11:41:01</t>
  </si>
  <si>
    <t>5376633053700</t>
  </si>
  <si>
    <t>2026-09-16 11:45:08</t>
  </si>
  <si>
    <t>5375640116484</t>
  </si>
  <si>
    <t>2026-09-16 11:49:36</t>
  </si>
  <si>
    <t xml:space="preserve"> </t>
  </si>
  <si>
    <t>5350128190724</t>
  </si>
  <si>
    <t>2026-09-15 00:00:34</t>
  </si>
  <si>
    <t>OPT -MG</t>
  </si>
  <si>
    <t>MG</t>
  </si>
  <si>
    <t>5351005887748</t>
  </si>
  <si>
    <t>2026-09-15 00:05:22</t>
  </si>
  <si>
    <t>BHZ 03-MG</t>
  </si>
  <si>
    <t>2026-09-15 17:37:45</t>
  </si>
  <si>
    <t>5350825621252</t>
  </si>
  <si>
    <t>2026-09-15 00:16:50</t>
  </si>
  <si>
    <t>F NSR-MG</t>
  </si>
  <si>
    <t>5351383421700</t>
  </si>
  <si>
    <t>2026-09-15 00:42:26</t>
  </si>
  <si>
    <t>POJ -MG</t>
  </si>
  <si>
    <t>5351188725764</t>
  </si>
  <si>
    <t>2026-09-15 00:47:09</t>
  </si>
  <si>
    <t>UBA -MG</t>
  </si>
  <si>
    <t>2026-09-15 11:17:02</t>
  </si>
  <si>
    <t>5351655288324</t>
  </si>
  <si>
    <t>2026-09-15 00:47:21</t>
  </si>
  <si>
    <t>IPN 02-MG</t>
  </si>
  <si>
    <t>5351458792964</t>
  </si>
  <si>
    <t>2026-09-15 00:48:40</t>
  </si>
  <si>
    <t>PPY -MG</t>
  </si>
  <si>
    <t>2026-09-15 12:12:03</t>
  </si>
  <si>
    <t>5351396671236</t>
  </si>
  <si>
    <t>2026-09-15 00:50:07</t>
  </si>
  <si>
    <t>NAC-MG</t>
  </si>
  <si>
    <t>2026-09-15 16:54:01</t>
  </si>
  <si>
    <t>5351575989764</t>
  </si>
  <si>
    <t>2026-09-15 01:05:19</t>
  </si>
  <si>
    <t>GRN-MG</t>
  </si>
  <si>
    <t>5353909572868</t>
  </si>
  <si>
    <t>2026-09-15 03:41:48</t>
  </si>
  <si>
    <t>JTB -MG</t>
  </si>
  <si>
    <t>2026-09-16 11:19:49</t>
  </si>
  <si>
    <t>5354154097668</t>
  </si>
  <si>
    <t>2026-09-15 03:54:37</t>
  </si>
  <si>
    <t>RDN 02-MG</t>
  </si>
  <si>
    <t>2026-09-15 11:43:26</t>
  </si>
  <si>
    <t>5354065578500</t>
  </si>
  <si>
    <t>2026-09-15 04:13:48</t>
  </si>
  <si>
    <t>JDF 06-MG</t>
  </si>
  <si>
    <t>2026-09-15 08:47:17</t>
  </si>
  <si>
    <t>5353634041604</t>
  </si>
  <si>
    <t>2026-09-15 05:06:25</t>
  </si>
  <si>
    <t>MNH -MG</t>
  </si>
  <si>
    <t>2026-09-15 14:14:04</t>
  </si>
  <si>
    <t>5354374717700</t>
  </si>
  <si>
    <t>2026-09-15 05:09:28</t>
  </si>
  <si>
    <t>F TPT-MG</t>
  </si>
  <si>
    <t>2026-09-15 19:42:20</t>
  </si>
  <si>
    <t>5353636643332</t>
  </si>
  <si>
    <t>2026-09-15 05:14:42</t>
  </si>
  <si>
    <t>F JDF 03-MG</t>
  </si>
  <si>
    <t>2026-09-15 09:59:02</t>
  </si>
  <si>
    <t>5354024730116</t>
  </si>
  <si>
    <t>2026-09-15 05:15:40</t>
  </si>
  <si>
    <t>ELD-MG</t>
  </si>
  <si>
    <t>2026-09-15 09:14:51</t>
  </si>
  <si>
    <t>5356076648452</t>
  </si>
  <si>
    <t>2026-09-15 05:46:12</t>
  </si>
  <si>
    <t>CTG -MG</t>
  </si>
  <si>
    <t>2026-09-15 13:33:17</t>
  </si>
  <si>
    <t>5354392019460</t>
  </si>
  <si>
    <t>2026-09-15 05:52:31</t>
  </si>
  <si>
    <t>CUV -MG</t>
  </si>
  <si>
    <t>2026-09-15 16:07:53</t>
  </si>
  <si>
    <t>5356251728388</t>
  </si>
  <si>
    <t>2026-09-15 05:54:46</t>
  </si>
  <si>
    <t>F BHZ 20-MG</t>
  </si>
  <si>
    <t>2026-09-15 08:50:04</t>
  </si>
  <si>
    <t>5354211316740</t>
  </si>
  <si>
    <t>2026-09-15 05:57:17</t>
  </si>
  <si>
    <t>5355470963972</t>
  </si>
  <si>
    <t>2026-09-15 06:04:47</t>
  </si>
  <si>
    <t>2026-09-15 17:39:08</t>
  </si>
  <si>
    <t>5354491208452</t>
  </si>
  <si>
    <t>2026-09-15 06:06:08</t>
  </si>
  <si>
    <t>F BHZ 11-MG</t>
  </si>
  <si>
    <t>2026-09-15 14:27:36</t>
  </si>
  <si>
    <t>5355990102020</t>
  </si>
  <si>
    <t>2026-09-15 06:13:55</t>
  </si>
  <si>
    <t>GVR -MG</t>
  </si>
  <si>
    <t>2026-09-15 09:35:38</t>
  </si>
  <si>
    <t>5356157754628</t>
  </si>
  <si>
    <t>2026-09-15 06:16:13</t>
  </si>
  <si>
    <t>BTM -MG</t>
  </si>
  <si>
    <t>5355029325316</t>
  </si>
  <si>
    <t>2026-09-15 06:31:17</t>
  </si>
  <si>
    <t>F TMN 02-MG</t>
  </si>
  <si>
    <t>2026-09-15 09:50:13</t>
  </si>
  <si>
    <t>5355107101188</t>
  </si>
  <si>
    <t>2026-09-15 06:32:01</t>
  </si>
  <si>
    <t>JMV -MG</t>
  </si>
  <si>
    <t>2026-09-15 10:43:07</t>
  </si>
  <si>
    <t>5356171314436</t>
  </si>
  <si>
    <t>2026-09-15 06:44:05</t>
  </si>
  <si>
    <t>VCS -MG</t>
  </si>
  <si>
    <t>5355122235908</t>
  </si>
  <si>
    <t>2026-09-15 06:45:56</t>
  </si>
  <si>
    <t>F AAX-MG</t>
  </si>
  <si>
    <t>2026-09-15 12:41:52</t>
  </si>
  <si>
    <t>5355566255364</t>
  </si>
  <si>
    <t>2026-09-15 06:51:40</t>
  </si>
  <si>
    <t>UDI 02-MG</t>
  </si>
  <si>
    <t>2026-09-15 11:55:51</t>
  </si>
  <si>
    <t>5356651149828</t>
  </si>
  <si>
    <t>2026-09-15 07:04:06</t>
  </si>
  <si>
    <t>LGS-MG</t>
  </si>
  <si>
    <t>2026-09-15 12:23:56</t>
  </si>
  <si>
    <t>5355134397700</t>
  </si>
  <si>
    <t>2026-09-15 07:04:09</t>
  </si>
  <si>
    <t>2026-09-16 11:20:39</t>
  </si>
  <si>
    <t>5357537522692</t>
  </si>
  <si>
    <t>2026-09-15 07:04:32</t>
  </si>
  <si>
    <t>DIQ 02-MG</t>
  </si>
  <si>
    <t>5357005230596</t>
  </si>
  <si>
    <t>2026-09-15 07:08:10</t>
  </si>
  <si>
    <t>2026-09-15 14:52:00</t>
  </si>
  <si>
    <t>5355777069828</t>
  </si>
  <si>
    <t>2026-09-15 07:12:01</t>
  </si>
  <si>
    <t>2026-09-16 10:17:54</t>
  </si>
  <si>
    <t>5356314378756</t>
  </si>
  <si>
    <t>2026-09-15 07:15:46</t>
  </si>
  <si>
    <t>DIQ -MG</t>
  </si>
  <si>
    <t>5356201409028</t>
  </si>
  <si>
    <t>2026-09-15 07:17:04</t>
  </si>
  <si>
    <t>F UBE-MG</t>
  </si>
  <si>
    <t>2026-09-15 15:03:02</t>
  </si>
  <si>
    <t>5355777433092</t>
  </si>
  <si>
    <t>2026-09-15 07:17:28</t>
  </si>
  <si>
    <t>UDI -MG</t>
  </si>
  <si>
    <t>2026-09-15 09:27:15</t>
  </si>
  <si>
    <t>5357030589444</t>
  </si>
  <si>
    <t>2026-09-15 07:20:29</t>
  </si>
  <si>
    <t>MTC -MG</t>
  </si>
  <si>
    <t>2026-09-15 12:31:20</t>
  </si>
  <si>
    <t>5356867879428</t>
  </si>
  <si>
    <t>2026-09-15 07:29:09</t>
  </si>
  <si>
    <t>F JDF 02-MG</t>
  </si>
  <si>
    <t>2026-09-15 11:58:29</t>
  </si>
  <si>
    <t>5357274755844</t>
  </si>
  <si>
    <t>2026-09-15 07:30:54</t>
  </si>
  <si>
    <t>F PCN-MG</t>
  </si>
  <si>
    <t>2026-09-15 15:39:39</t>
  </si>
  <si>
    <t>5357565105412</t>
  </si>
  <si>
    <t>2026-09-15 07:33:55</t>
  </si>
  <si>
    <t>VPS -MG</t>
  </si>
  <si>
    <t>2026-09-15 10:43:29</t>
  </si>
  <si>
    <t>5357028324100</t>
  </si>
  <si>
    <t>2026-09-15 07:34:01</t>
  </si>
  <si>
    <t>ORP-MG</t>
  </si>
  <si>
    <t>5357274991364</t>
  </si>
  <si>
    <t>2026-09-15 07:34:05</t>
  </si>
  <si>
    <t>BHM-MG</t>
  </si>
  <si>
    <t>2026-09-15 19:47:26</t>
  </si>
  <si>
    <t>5357275246596</t>
  </si>
  <si>
    <t>2026-09-15 07:37:32</t>
  </si>
  <si>
    <t>VAG -MG</t>
  </si>
  <si>
    <t>2026-09-15 14:23:05</t>
  </si>
  <si>
    <t>5357565363204</t>
  </si>
  <si>
    <t>2026-09-15 07:39:19</t>
  </si>
  <si>
    <t>5357275410692</t>
  </si>
  <si>
    <t>2026-09-15 07:39:46</t>
  </si>
  <si>
    <t>2026-09-15 11:22:36</t>
  </si>
  <si>
    <t>5356335943172</t>
  </si>
  <si>
    <t>2026-09-15 07:42:41</t>
  </si>
  <si>
    <t>2026-09-15 08:16:10</t>
  </si>
  <si>
    <t>5358014274052</t>
  </si>
  <si>
    <t>2026-09-15 07:42:50</t>
  </si>
  <si>
    <t>POO -MG</t>
  </si>
  <si>
    <t>2026-09-15 13:53:13</t>
  </si>
  <si>
    <t>5357107108100</t>
  </si>
  <si>
    <t>2026-09-15 07:44:08</t>
  </si>
  <si>
    <t>2026-09-15 12:41:13</t>
  </si>
  <si>
    <t>5357565577220</t>
  </si>
  <si>
    <t>2026-09-15 07:44:16</t>
  </si>
  <si>
    <t>BCA -MG</t>
  </si>
  <si>
    <t>2026-09-15 10:19:14</t>
  </si>
  <si>
    <t>5356217869572</t>
  </si>
  <si>
    <t>2026-09-15 07:45:33</t>
  </si>
  <si>
    <t>2026-09-15 12:36:01</t>
  </si>
  <si>
    <t>5358014807556</t>
  </si>
  <si>
    <t>2026-09-15 07:48:48</t>
  </si>
  <si>
    <t>F PMN-MG</t>
  </si>
  <si>
    <t>2026-09-15 14:31:25</t>
  </si>
  <si>
    <t>5356429998084</t>
  </si>
  <si>
    <t>2026-09-15 07:50:45</t>
  </si>
  <si>
    <t>2026-09-15 09:47:38</t>
  </si>
  <si>
    <t>5356702420484</t>
  </si>
  <si>
    <t>2026-09-15 07:55:23</t>
  </si>
  <si>
    <t>5357914283780</t>
  </si>
  <si>
    <t>2026-09-15 07:55:32</t>
  </si>
  <si>
    <t>F IRO-MG</t>
  </si>
  <si>
    <t>2026-09-15 12:07:30</t>
  </si>
  <si>
    <t>5356221319684</t>
  </si>
  <si>
    <t>2026-09-15 07:57:14</t>
  </si>
  <si>
    <t>2026-09-15 14:37:48</t>
  </si>
  <si>
    <t>5356218798852</t>
  </si>
  <si>
    <t>2026-09-15 07:58:32</t>
  </si>
  <si>
    <t>F LGP-MG</t>
  </si>
  <si>
    <t>2026-09-15 13:20:54</t>
  </si>
  <si>
    <t>5358369971972</t>
  </si>
  <si>
    <t>2026-09-15 07:58:58</t>
  </si>
  <si>
    <t>2026-09-16 11:31:03</t>
  </si>
  <si>
    <t>5357914445572</t>
  </si>
  <si>
    <t>2026-09-15 08:00:46</t>
  </si>
  <si>
    <t>5358019081732</t>
  </si>
  <si>
    <t>2026-09-15 08:01:33</t>
  </si>
  <si>
    <t>GLO-MG</t>
  </si>
  <si>
    <t>2026-09-15 11:55:36</t>
  </si>
  <si>
    <t>5358373698564</t>
  </si>
  <si>
    <t>2026-09-15 08:02:03</t>
  </si>
  <si>
    <t>F CPA-MG</t>
  </si>
  <si>
    <t>2026-09-15 11:07:15</t>
  </si>
  <si>
    <t>5356880382724</t>
  </si>
  <si>
    <t>2026-09-15 08:02:56</t>
  </si>
  <si>
    <t>F IAN-MG</t>
  </si>
  <si>
    <t>2026-09-15 10:27:57</t>
  </si>
  <si>
    <t>5357579272964</t>
  </si>
  <si>
    <t>2026-09-15 08:04:46</t>
  </si>
  <si>
    <t>2026-09-15 11:56:00</t>
  </si>
  <si>
    <t>5357771184388</t>
  </si>
  <si>
    <t>2026-09-15 08:08:26</t>
  </si>
  <si>
    <t>2026-09-15 10:24:14</t>
  </si>
  <si>
    <t>5357914788868</t>
  </si>
  <si>
    <t>2026-09-15 08:11:28</t>
  </si>
  <si>
    <t>2026-09-15 10:05:34</t>
  </si>
  <si>
    <t>5357914794244</t>
  </si>
  <si>
    <t>2026-09-15 08:11:43</t>
  </si>
  <si>
    <t>UAB -MG</t>
  </si>
  <si>
    <t>2026-09-15 09:25:37</t>
  </si>
  <si>
    <t>5356228718852</t>
  </si>
  <si>
    <t>2026-09-15 08:11:55</t>
  </si>
  <si>
    <t>PPR -MG</t>
  </si>
  <si>
    <t>2026-09-15 13:06:51</t>
  </si>
  <si>
    <t>5357366537732</t>
  </si>
  <si>
    <t>2026-09-15 08:13:05</t>
  </si>
  <si>
    <t>5357579659524</t>
  </si>
  <si>
    <t>2026-09-15 08:13:10</t>
  </si>
  <si>
    <t>5358370804996</t>
  </si>
  <si>
    <t>2026-09-15 08:14:16</t>
  </si>
  <si>
    <t>2026-09-16 09:24:26</t>
  </si>
  <si>
    <t>5357131040516</t>
  </si>
  <si>
    <t>2026-09-15 08:14:21</t>
  </si>
  <si>
    <t>F BHZ 09-MG</t>
  </si>
  <si>
    <t>2026-09-15 10:50:26</t>
  </si>
  <si>
    <t>5356421581572</t>
  </si>
  <si>
    <t>2026-09-15 08:14:30</t>
  </si>
  <si>
    <t>JDI-MG</t>
  </si>
  <si>
    <t>5356228911108</t>
  </si>
  <si>
    <t>2026-09-15 08:14:41</t>
  </si>
  <si>
    <t>5358563617284</t>
  </si>
  <si>
    <t>2026-09-15 08:15:26</t>
  </si>
  <si>
    <t>F JDF 04-MG</t>
  </si>
  <si>
    <t>2026-09-15 13:46:25</t>
  </si>
  <si>
    <t>5357411613700</t>
  </si>
  <si>
    <t>2026-09-15 08:19:56</t>
  </si>
  <si>
    <t>2026-09-15 15:33:18</t>
  </si>
  <si>
    <t>5358371214084</t>
  </si>
  <si>
    <t>2026-09-15 08:20:42</t>
  </si>
  <si>
    <t>2026-09-15 18:34:00</t>
  </si>
  <si>
    <t>5357605075972</t>
  </si>
  <si>
    <t>2026-09-15 08:22:10</t>
  </si>
  <si>
    <t>2026-09-15 18:04:12</t>
  </si>
  <si>
    <t>5356229528324</t>
  </si>
  <si>
    <t>2026-09-15 08:23:35</t>
  </si>
  <si>
    <t>5357591460612</t>
  </si>
  <si>
    <t>2026-09-15 08:26:58</t>
  </si>
  <si>
    <t>TFL -MG</t>
  </si>
  <si>
    <t>2026-09-15 16:18:06</t>
  </si>
  <si>
    <t>5357844974084</t>
  </si>
  <si>
    <t>2026-09-15 08:28:37</t>
  </si>
  <si>
    <t>5356421922820</t>
  </si>
  <si>
    <t>2026-09-15 08:28:48</t>
  </si>
  <si>
    <t>2026-09-15 20:40:10</t>
  </si>
  <si>
    <t>5358388462084</t>
  </si>
  <si>
    <t>2026-09-15 08:29:10</t>
  </si>
  <si>
    <t>AFS -MG</t>
  </si>
  <si>
    <t>2026-09-15 12:27:24</t>
  </si>
  <si>
    <t>5357845031428</t>
  </si>
  <si>
    <t>2026-09-15 08:30:21</t>
  </si>
  <si>
    <t>2026-09-15 14:59:13</t>
  </si>
  <si>
    <t>5357596299780</t>
  </si>
  <si>
    <t>2026-09-15 08:30:31</t>
  </si>
  <si>
    <t>UBA 03-MG</t>
  </si>
  <si>
    <t>2026-09-15 10:06:11</t>
  </si>
  <si>
    <t>5357328641028</t>
  </si>
  <si>
    <t>2026-09-15 08:31:29</t>
  </si>
  <si>
    <t>F MDE-MG</t>
  </si>
  <si>
    <t>5357328706052</t>
  </si>
  <si>
    <t>2026-09-15 08:32:53</t>
  </si>
  <si>
    <t>F IRT-MG</t>
  </si>
  <si>
    <t>2026-09-15 16:10:53</t>
  </si>
  <si>
    <t>5357321106436</t>
  </si>
  <si>
    <t>2026-09-15 08:33:32</t>
  </si>
  <si>
    <t>2026-09-16 10:12:02</t>
  </si>
  <si>
    <t>5357321202180</t>
  </si>
  <si>
    <t>2026-09-15 08:36:09</t>
  </si>
  <si>
    <t>F UDI 02-MG</t>
  </si>
  <si>
    <t>2026-09-15 10:15:52</t>
  </si>
  <si>
    <t>5358386205956</t>
  </si>
  <si>
    <t>2026-09-15 08:39:10</t>
  </si>
  <si>
    <t>FRT -MG</t>
  </si>
  <si>
    <t>5358386297348</t>
  </si>
  <si>
    <t>2026-09-15 08:41:01</t>
  </si>
  <si>
    <t>2026-09-15 16:08:37</t>
  </si>
  <si>
    <t>5358386307332</t>
  </si>
  <si>
    <t>2026-09-15 08:41:15</t>
  </si>
  <si>
    <t>2026-09-15 16:51:16</t>
  </si>
  <si>
    <t>5357840965124</t>
  </si>
  <si>
    <t>2026-09-15 08:41:37</t>
  </si>
  <si>
    <t>2026-09-15 18:24:31</t>
  </si>
  <si>
    <t>5357321497860</t>
  </si>
  <si>
    <t>2026-09-15 08:43:16</t>
  </si>
  <si>
    <t>2026-09-15 14:18:58</t>
  </si>
  <si>
    <t>5357970591492</t>
  </si>
  <si>
    <t>2026-09-15 08:44:22</t>
  </si>
  <si>
    <t>2026-09-15 15:26:48</t>
  </si>
  <si>
    <t>5357591938308</t>
  </si>
  <si>
    <t>2026-09-15 08:44:39</t>
  </si>
  <si>
    <t>5357845470468</t>
  </si>
  <si>
    <t>2026-09-15 08:45:10</t>
  </si>
  <si>
    <t>2026-09-15 13:38:06</t>
  </si>
  <si>
    <t>5358389334788</t>
  </si>
  <si>
    <t>2026-09-15 08:47:38</t>
  </si>
  <si>
    <t>F CDC-MG</t>
  </si>
  <si>
    <t>5357606054916</t>
  </si>
  <si>
    <t>2026-09-15 08:49:32</t>
  </si>
  <si>
    <t>IBR -MG</t>
  </si>
  <si>
    <t>2026-09-15 18:02:28</t>
  </si>
  <si>
    <t>5358832255492</t>
  </si>
  <si>
    <t>2026-09-15 08:50:23</t>
  </si>
  <si>
    <t>F ORB-MG</t>
  </si>
  <si>
    <t>2026-09-15 16:33:25</t>
  </si>
  <si>
    <t>5356245987588</t>
  </si>
  <si>
    <t>2026-09-15 08:51:26</t>
  </si>
  <si>
    <t>2026-09-16 09:55:10</t>
  </si>
  <si>
    <t>5357779225348</t>
  </si>
  <si>
    <t>2026-09-15 08:51:39</t>
  </si>
  <si>
    <t>BDA-MG</t>
  </si>
  <si>
    <t>2026-09-15 10:56:24</t>
  </si>
  <si>
    <t>5358381544708</t>
  </si>
  <si>
    <t>2026-09-15 08:51:54</t>
  </si>
  <si>
    <t>MRE -MG</t>
  </si>
  <si>
    <t>2026-09-15 12:56:26</t>
  </si>
  <si>
    <t>5357693840388</t>
  </si>
  <si>
    <t>2026-09-15 08:56:16</t>
  </si>
  <si>
    <t>5358485203460</t>
  </si>
  <si>
    <t>2026-09-15 08:57:26</t>
  </si>
  <si>
    <t>2026-09-15 09:16:48</t>
  </si>
  <si>
    <t>5357962253572</t>
  </si>
  <si>
    <t>2026-09-15 09:01:12</t>
  </si>
  <si>
    <t>5358832935940</t>
  </si>
  <si>
    <t>2026-09-15 09:04:41</t>
  </si>
  <si>
    <t>F UNI-MG</t>
  </si>
  <si>
    <t>5357957298180</t>
  </si>
  <si>
    <t>2026-09-15 09:05:27</t>
  </si>
  <si>
    <t>2026-09-15 15:07:29</t>
  </si>
  <si>
    <t>5357613617924</t>
  </si>
  <si>
    <t>2026-09-15 09:06:32</t>
  </si>
  <si>
    <t>2026-09-15 18:19:12</t>
  </si>
  <si>
    <t>5357797379588</t>
  </si>
  <si>
    <t>2026-09-15 09:06:49</t>
  </si>
  <si>
    <t>STL -MG</t>
  </si>
  <si>
    <t>2026-09-15 18:17:45</t>
  </si>
  <si>
    <t>5357323685892</t>
  </si>
  <si>
    <t>2026-09-15 09:06:53</t>
  </si>
  <si>
    <t>F CMB-MG</t>
  </si>
  <si>
    <t>2026-09-15 10:10:17</t>
  </si>
  <si>
    <t>5358833085444</t>
  </si>
  <si>
    <t>2026-09-15 09:07:58</t>
  </si>
  <si>
    <t>GHE -MG</t>
  </si>
  <si>
    <t>5356246692356</t>
  </si>
  <si>
    <t>2026-09-15 09:10:25</t>
  </si>
  <si>
    <t>2026-09-15 12:34:33</t>
  </si>
  <si>
    <t>5357957444612</t>
  </si>
  <si>
    <t>2026-09-15 09:11:03</t>
  </si>
  <si>
    <t>2026-09-15 11:51:08</t>
  </si>
  <si>
    <t>5358688293380</t>
  </si>
  <si>
    <t>2026-09-15 09:11:21</t>
  </si>
  <si>
    <t>2026-09-15 10:51:14</t>
  </si>
  <si>
    <t>5357345539844</t>
  </si>
  <si>
    <t>2026-09-15 09:12:04</t>
  </si>
  <si>
    <t>PTU -MG</t>
  </si>
  <si>
    <t>2026-09-15 12:09:41</t>
  </si>
  <si>
    <t>5357962660868</t>
  </si>
  <si>
    <t>2026-09-15 09:12:19</t>
  </si>
  <si>
    <t>5358676310788</t>
  </si>
  <si>
    <t>2026-09-15 09:12:27</t>
  </si>
  <si>
    <t>F BHZ 08-MG</t>
  </si>
  <si>
    <t>2026-09-15 18:12:44</t>
  </si>
  <si>
    <t>5357957530116</t>
  </si>
  <si>
    <t>2026-09-15 09:14:34</t>
  </si>
  <si>
    <t>2026-09-15 09:51:05</t>
  </si>
  <si>
    <t>5358929381124</t>
  </si>
  <si>
    <t>2026-09-15 09:18:55</t>
  </si>
  <si>
    <t>5357613989636</t>
  </si>
  <si>
    <t>2026-09-15 09:19:28</t>
  </si>
  <si>
    <t>2026-09-15 09:58:22</t>
  </si>
  <si>
    <t>5358929414148</t>
  </si>
  <si>
    <t>2026-09-15 09:20:20</t>
  </si>
  <si>
    <t>5358676512772</t>
  </si>
  <si>
    <t>2026-09-15 09:20:56</t>
  </si>
  <si>
    <t>2026-09-15 12:01:54</t>
  </si>
  <si>
    <t>5358688571908</t>
  </si>
  <si>
    <t>2026-09-15 09:21:10</t>
  </si>
  <si>
    <t>2026-09-15 17:33:19</t>
  </si>
  <si>
    <t>5357345904388</t>
  </si>
  <si>
    <t>2026-09-15 09:22:28</t>
  </si>
  <si>
    <t>2026-09-15 14:04:13</t>
  </si>
  <si>
    <t>5357348099844</t>
  </si>
  <si>
    <t>2026-09-15 09:23:11</t>
  </si>
  <si>
    <t>2026-09-15 13:21:23</t>
  </si>
  <si>
    <t>5357165358084</t>
  </si>
  <si>
    <t>2026-09-15 09:24:38</t>
  </si>
  <si>
    <t>2026-09-15 15:15:33</t>
  </si>
  <si>
    <t>5358485972740</t>
  </si>
  <si>
    <t>2026-09-15 09:25:56</t>
  </si>
  <si>
    <t>F BHZ 10-MG</t>
  </si>
  <si>
    <t>2026-09-15 09:52:57</t>
  </si>
  <si>
    <t>5358405385732</t>
  </si>
  <si>
    <t>2026-09-15 09:26:31</t>
  </si>
  <si>
    <t>F CLT-MG</t>
  </si>
  <si>
    <t>2026-09-15 09:45:30</t>
  </si>
  <si>
    <t>5357957796868</t>
  </si>
  <si>
    <t>2026-09-15 09:26:56</t>
  </si>
  <si>
    <t>2026-09-15 11:04:05</t>
  </si>
  <si>
    <t>5358405529092</t>
  </si>
  <si>
    <t>2026-09-15 09:29:54</t>
  </si>
  <si>
    <t>2026-09-15 15:26:36</t>
  </si>
  <si>
    <t>5359480649988</t>
  </si>
  <si>
    <t>2026-09-15 09:32:03</t>
  </si>
  <si>
    <t>2026-09-15 14:50:42</t>
  </si>
  <si>
    <t>5358844990212</t>
  </si>
  <si>
    <t>2026-09-15 09:32:53</t>
  </si>
  <si>
    <t>2026-09-15 13:42:09</t>
  </si>
  <si>
    <t>5358516356612</t>
  </si>
  <si>
    <t>2026-09-15 09:34:43</t>
  </si>
  <si>
    <t>F SGT-MG</t>
  </si>
  <si>
    <t>2026-09-15 11:51:26</t>
  </si>
  <si>
    <t>5358479975172</t>
  </si>
  <si>
    <t>2026-09-15 09:36:05</t>
  </si>
  <si>
    <t>2026-09-15 15:41:29</t>
  </si>
  <si>
    <t>5358236881156</t>
  </si>
  <si>
    <t>2026-09-15 09:37:13</t>
  </si>
  <si>
    <t>5358929879044</t>
  </si>
  <si>
    <t>2026-09-15 09:37:57</t>
  </si>
  <si>
    <t>5358845153796</t>
  </si>
  <si>
    <t>2026-09-15 09:38:29</t>
  </si>
  <si>
    <t>2026-09-15 10:42:36</t>
  </si>
  <si>
    <t>5358405917956</t>
  </si>
  <si>
    <t>2026-09-15 13:07:52</t>
  </si>
  <si>
    <t>5357876243204</t>
  </si>
  <si>
    <t>2026-09-15 09:40:46</t>
  </si>
  <si>
    <t>PTN -MG</t>
  </si>
  <si>
    <t>2026-09-15 13:04:32</t>
  </si>
  <si>
    <t>5358842435076</t>
  </si>
  <si>
    <t>2026-09-15 09:42:41</t>
  </si>
  <si>
    <t>5358513219588</t>
  </si>
  <si>
    <t>2026-09-15 09:42:50</t>
  </si>
  <si>
    <t>5358922453764</t>
  </si>
  <si>
    <t>2026-09-15 09:44:04</t>
  </si>
  <si>
    <t>5358236122628</t>
  </si>
  <si>
    <t>2026-09-15 09:44:43</t>
  </si>
  <si>
    <t>2026-09-15 18:56:25</t>
  </si>
  <si>
    <t>5358838090756</t>
  </si>
  <si>
    <t>2026-09-15 09:44:52</t>
  </si>
  <si>
    <t>5358406160132</t>
  </si>
  <si>
    <t>2026-09-15 09:45:00</t>
  </si>
  <si>
    <t>F ARC-MG</t>
  </si>
  <si>
    <t>2026-09-15 20:15:09</t>
  </si>
  <si>
    <t>5359571208964</t>
  </si>
  <si>
    <t>2026-09-15 09:48:03</t>
  </si>
  <si>
    <t>2026-09-16 11:46:27</t>
  </si>
  <si>
    <t>5359481212676</t>
  </si>
  <si>
    <t>2026-09-15 09:50:46</t>
  </si>
  <si>
    <t>LAS -MG</t>
  </si>
  <si>
    <t>2026-09-15 11:29:47</t>
  </si>
  <si>
    <t>5359381734404</t>
  </si>
  <si>
    <t>2026-09-15 09:52:40</t>
  </si>
  <si>
    <t>2026-09-15 16:36:25</t>
  </si>
  <si>
    <t>5358414429700</t>
  </si>
  <si>
    <t>2026-09-15 09:53:39</t>
  </si>
  <si>
    <t>5358077448452</t>
  </si>
  <si>
    <t>2026-09-15 09:54:08</t>
  </si>
  <si>
    <t>F FMG-MG</t>
  </si>
  <si>
    <t>2026-09-15 13:37:48</t>
  </si>
  <si>
    <t>5358853214980</t>
  </si>
  <si>
    <t>2026-09-15 09:54:34</t>
  </si>
  <si>
    <t>2026-09-15 10:49:07</t>
  </si>
  <si>
    <t>5359296160004</t>
  </si>
  <si>
    <t>2026-09-15 09:55:34</t>
  </si>
  <si>
    <t>5358930356996</t>
  </si>
  <si>
    <t>2026-09-15 09:56:08</t>
  </si>
  <si>
    <t>2026-09-15 11:48:12</t>
  </si>
  <si>
    <t>5359668004612</t>
  </si>
  <si>
    <t>2026-09-15 09:58:50</t>
  </si>
  <si>
    <t>2026-09-15 23:53:46</t>
  </si>
  <si>
    <t>5358517074180</t>
  </si>
  <si>
    <t>5359843031812</t>
  </si>
  <si>
    <t>2026-09-15 10:01:14</t>
  </si>
  <si>
    <t>5359296319492</t>
  </si>
  <si>
    <t>2026-09-15 10:02:08</t>
  </si>
  <si>
    <t>2026-09-16 11:22:44</t>
  </si>
  <si>
    <t>5359495725828</t>
  </si>
  <si>
    <t>2026-09-15 10:04:11</t>
  </si>
  <si>
    <t>UBA 02-MG</t>
  </si>
  <si>
    <t>2026-09-15 14:03:26</t>
  </si>
  <si>
    <t>5359569143044</t>
  </si>
  <si>
    <t>2026-09-15 10:04:27</t>
  </si>
  <si>
    <t>2026-09-15 15:41:37</t>
  </si>
  <si>
    <t>5359571749124</t>
  </si>
  <si>
    <t>2026-09-15 10:08:53</t>
  </si>
  <si>
    <t>2026-09-15 10:54:27</t>
  </si>
  <si>
    <t>5359495919364</t>
  </si>
  <si>
    <t>2026-09-15 10:09:39</t>
  </si>
  <si>
    <t>2026-09-15 23:30:59</t>
  </si>
  <si>
    <t>5358419028228</t>
  </si>
  <si>
    <t>2026-09-15 10:09:45</t>
  </si>
  <si>
    <t>5359311620356</t>
  </si>
  <si>
    <t>2026-09-15 10:09:55</t>
  </si>
  <si>
    <t>2026-09-15 15:25:42</t>
  </si>
  <si>
    <t>5358624213764</t>
  </si>
  <si>
    <t>2026-09-15 10:11:03</t>
  </si>
  <si>
    <t>5359420435204</t>
  </si>
  <si>
    <t>2026-09-15 10:12:38</t>
  </si>
  <si>
    <t>F PLE 02-MG</t>
  </si>
  <si>
    <t>5358616892932</t>
  </si>
  <si>
    <t>2026-09-15 10:14:17</t>
  </si>
  <si>
    <t>2026-09-15 11:15:23</t>
  </si>
  <si>
    <t>5358419164420</t>
  </si>
  <si>
    <t>2026-09-15 10:14:21</t>
  </si>
  <si>
    <t>2026-09-15 14:47:35</t>
  </si>
  <si>
    <t>5358717426436</t>
  </si>
  <si>
    <t>2026-09-15 10:14:58</t>
  </si>
  <si>
    <t>IPN -MG</t>
  </si>
  <si>
    <t>2026-09-15 13:28:29</t>
  </si>
  <si>
    <t>5358514019332</t>
  </si>
  <si>
    <t>2026-09-15 10:15:04</t>
  </si>
  <si>
    <t>5358419210756</t>
  </si>
  <si>
    <t>2026-09-15 10:15:55</t>
  </si>
  <si>
    <t>2026-09-15 15:02:24</t>
  </si>
  <si>
    <t>5359311920900</t>
  </si>
  <si>
    <t>2026-09-15 10:21:31</t>
  </si>
  <si>
    <t>F MRC-MG</t>
  </si>
  <si>
    <t>2026-09-15 20:04:25</t>
  </si>
  <si>
    <t>5358415258628</t>
  </si>
  <si>
    <t>2026-09-15 10:22:45</t>
  </si>
  <si>
    <t>2026-09-15 13:51:02</t>
  </si>
  <si>
    <t>5357905006084</t>
  </si>
  <si>
    <t>2026-09-15 10:23:38</t>
  </si>
  <si>
    <t>5358415316484</t>
  </si>
  <si>
    <t>2026-09-15 10:24:55</t>
  </si>
  <si>
    <t>2026-09-15 15:46:33</t>
  </si>
  <si>
    <t>5359668893444</t>
  </si>
  <si>
    <t>2026-09-15 10:26:19</t>
  </si>
  <si>
    <t>5359844115460</t>
  </si>
  <si>
    <t>2026-09-15 10:26:21</t>
  </si>
  <si>
    <t>F PSS-MG</t>
  </si>
  <si>
    <t>2026-09-15 16:24:23</t>
  </si>
  <si>
    <t>5359570607108</t>
  </si>
  <si>
    <t>2026-09-15 10:28:43</t>
  </si>
  <si>
    <t>5358419631876</t>
  </si>
  <si>
    <t>2026-09-15 10:29:47</t>
  </si>
  <si>
    <t>2026-09-15 10:42:17</t>
  </si>
  <si>
    <t>5357905284612</t>
  </si>
  <si>
    <t>2026-09-15 10:37:02</t>
  </si>
  <si>
    <t>BHZ 05-MG</t>
  </si>
  <si>
    <t>2026-09-15 11:58:01</t>
  </si>
  <si>
    <t>5359847350788</t>
  </si>
  <si>
    <t>2026-09-15 10:37:15</t>
  </si>
  <si>
    <t>5358415689732</t>
  </si>
  <si>
    <t>2026-09-15 10:37:17</t>
  </si>
  <si>
    <t>2026-09-15 11:35:13</t>
  </si>
  <si>
    <t>5359570813444</t>
  </si>
  <si>
    <t>2026-09-15 10:38:06</t>
  </si>
  <si>
    <t>2026-09-15 15:08:00</t>
  </si>
  <si>
    <t>5359858452996</t>
  </si>
  <si>
    <t>2026-09-15 10:38:34</t>
  </si>
  <si>
    <t>2026-09-15 12:06:54</t>
  </si>
  <si>
    <t>5358878298628</t>
  </si>
  <si>
    <t>2026-09-15 10:40:01</t>
  </si>
  <si>
    <t>2026-09-15 16:10:00</t>
  </si>
  <si>
    <t>5360026799364</t>
  </si>
  <si>
    <t>2026-09-15 10:41:10</t>
  </si>
  <si>
    <t>2026-09-15 15:49:22</t>
  </si>
  <si>
    <t>5360423579652</t>
  </si>
  <si>
    <t>2026-09-15 10:41:28</t>
  </si>
  <si>
    <t>F ADD-MG</t>
  </si>
  <si>
    <t>5358878392068</t>
  </si>
  <si>
    <t>5359845490436</t>
  </si>
  <si>
    <t>2026-09-15 10:44:06</t>
  </si>
  <si>
    <t>2026-09-15 11:07:34</t>
  </si>
  <si>
    <t>5359147196676</t>
  </si>
  <si>
    <t>2026-09-15 10:44:22</t>
  </si>
  <si>
    <t>2026-09-15 12:33:05</t>
  </si>
  <si>
    <t>5360328336900</t>
  </si>
  <si>
    <t>2026-09-15 10:47:01</t>
  </si>
  <si>
    <t>2026-09-15 14:35:03</t>
  </si>
  <si>
    <t>5359769876228</t>
  </si>
  <si>
    <t>2026-09-15 10:53:29</t>
  </si>
  <si>
    <t>5358971412484</t>
  </si>
  <si>
    <t>2026-09-15 10:55:36</t>
  </si>
  <si>
    <t>2026-09-15 14:41:47</t>
  </si>
  <si>
    <t>5359864987652</t>
  </si>
  <si>
    <t>2026-09-15 10:56:52</t>
  </si>
  <si>
    <t>5358878823684</t>
  </si>
  <si>
    <t>2026-09-15 10:57:40</t>
  </si>
  <si>
    <t>5359147552004</t>
  </si>
  <si>
    <t>2026-09-15 10:58:18</t>
  </si>
  <si>
    <t>2026-09-15 14:19:00</t>
  </si>
  <si>
    <t>5360328590596</t>
  </si>
  <si>
    <t>2026-09-15 10:59:42</t>
  </si>
  <si>
    <t>5360054794500</t>
  </si>
  <si>
    <t>2026-09-15 11:01:23</t>
  </si>
  <si>
    <t>2026-09-15 14:45:00</t>
  </si>
  <si>
    <t>5358725583364</t>
  </si>
  <si>
    <t>2026-09-15 11:03:39</t>
  </si>
  <si>
    <t>F BTM-MG</t>
  </si>
  <si>
    <t>2026-09-15 12:58:11</t>
  </si>
  <si>
    <t>5358439010820</t>
  </si>
  <si>
    <t>2026-09-15 11:04:11</t>
  </si>
  <si>
    <t>2026-09-15 11:20:17</t>
  </si>
  <si>
    <t>5359530370308</t>
  </si>
  <si>
    <t>2026-09-15 11:04:26</t>
  </si>
  <si>
    <t>F IUB-MG</t>
  </si>
  <si>
    <t>2026-09-15 18:00:01</t>
  </si>
  <si>
    <t>5359866234884</t>
  </si>
  <si>
    <t>2026-09-15 11:04:59</t>
  </si>
  <si>
    <t>2026-09-15 18:56:54</t>
  </si>
  <si>
    <t>5359333307140</t>
  </si>
  <si>
    <t>2026-09-15 11:05:38</t>
  </si>
  <si>
    <t>F MPB-MG</t>
  </si>
  <si>
    <t>2026-09-15 12:10:09</t>
  </si>
  <si>
    <t>5359859615748</t>
  </si>
  <si>
    <t>2026-09-15 11:06:47</t>
  </si>
  <si>
    <t>2026-09-15 19:24:19</t>
  </si>
  <si>
    <t>5359685332484</t>
  </si>
  <si>
    <t>2026-09-15 11:07:19</t>
  </si>
  <si>
    <t>F CGE-MG</t>
  </si>
  <si>
    <t>2026-09-16 09:46:20</t>
  </si>
  <si>
    <t>5360424368644</t>
  </si>
  <si>
    <t>5359147905028</t>
  </si>
  <si>
    <t>2026-09-15 11:11:56</t>
  </si>
  <si>
    <t>2026-09-15 14:10:38</t>
  </si>
  <si>
    <t>5358997000708</t>
  </si>
  <si>
    <t>2026-09-15 11:13:11</t>
  </si>
  <si>
    <t>2026-09-15 13:33:49</t>
  </si>
  <si>
    <t>5359333502980</t>
  </si>
  <si>
    <t>2026-09-15 11:14:08</t>
  </si>
  <si>
    <t>F MNT-MG</t>
  </si>
  <si>
    <t>2026-09-15 14:44:09</t>
  </si>
  <si>
    <t>5360328861700</t>
  </si>
  <si>
    <t>2026-09-15 11:14:26</t>
  </si>
  <si>
    <t>F STL-MG</t>
  </si>
  <si>
    <t>5360413809412</t>
  </si>
  <si>
    <t>2026-09-15 11:15:01</t>
  </si>
  <si>
    <t>2026-09-15 17:34:38</t>
  </si>
  <si>
    <t>5359685556228</t>
  </si>
  <si>
    <t>5359770412036</t>
  </si>
  <si>
    <t>2026-09-15 11:16:46</t>
  </si>
  <si>
    <t>2026-09-15 13:10:06</t>
  </si>
  <si>
    <t>5359613101060</t>
  </si>
  <si>
    <t>2026-09-15 11:17:47</t>
  </si>
  <si>
    <t>2026-09-15 11:36:06</t>
  </si>
  <si>
    <t>5359703137028</t>
  </si>
  <si>
    <t>2026-09-15 11:18:22</t>
  </si>
  <si>
    <t>5360055184900</t>
  </si>
  <si>
    <t>2026-09-15 11:18:28</t>
  </si>
  <si>
    <t>2026-09-15 18:44:36</t>
  </si>
  <si>
    <t>5360424634884</t>
  </si>
  <si>
    <t>2026-09-15 11:20:26</t>
  </si>
  <si>
    <t>2026-09-15 17:21:25</t>
  </si>
  <si>
    <t>5360104165636</t>
  </si>
  <si>
    <t>2026-09-15 11:24:37</t>
  </si>
  <si>
    <t>5360329142276</t>
  </si>
  <si>
    <t>2026-09-15 11:28:48</t>
  </si>
  <si>
    <t>2026-09-15 13:52:25</t>
  </si>
  <si>
    <t>5360104433412</t>
  </si>
  <si>
    <t>2026-09-15 11:31:12</t>
  </si>
  <si>
    <t>QDF -MG</t>
  </si>
  <si>
    <t>2026-09-15 13:24:41</t>
  </si>
  <si>
    <t>5358439982340</t>
  </si>
  <si>
    <t>2026-09-15 11:32:38</t>
  </si>
  <si>
    <t>2026-09-15 17:12:20</t>
  </si>
  <si>
    <t>5360445371652</t>
  </si>
  <si>
    <t>2026-09-15 11:36:38</t>
  </si>
  <si>
    <t>2026-09-15 13:04:35</t>
  </si>
  <si>
    <t>5359168778244</t>
  </si>
  <si>
    <t>2026-09-15 11:39:41</t>
  </si>
  <si>
    <t>2026-09-15 14:09:31</t>
  </si>
  <si>
    <t>5360356164868</t>
  </si>
  <si>
    <t>2026-09-15 11:39:43</t>
  </si>
  <si>
    <t>2026-09-15 12:23:46</t>
  </si>
  <si>
    <t>5360436578052</t>
  </si>
  <si>
    <t>2026-09-15 11:43:25</t>
  </si>
  <si>
    <t>5359463853060</t>
  </si>
  <si>
    <t>2026-09-15 11:45:23</t>
  </si>
  <si>
    <t>2026-09-15 12:31:39</t>
  </si>
  <si>
    <t>5359334247940</t>
  </si>
  <si>
    <t>2026-09-15 11:46:28</t>
  </si>
  <si>
    <t>5358898468612</t>
  </si>
  <si>
    <t>2026-09-15 11:46:30</t>
  </si>
  <si>
    <t>F AET-MG</t>
  </si>
  <si>
    <t>2026-09-15 13:35:04</t>
  </si>
  <si>
    <t>5359168987908</t>
  </si>
  <si>
    <t>2026-09-15 11:46:46</t>
  </si>
  <si>
    <t>F EXT-MG</t>
  </si>
  <si>
    <t>2026-09-15 14:51:36</t>
  </si>
  <si>
    <t>5359169004804</t>
  </si>
  <si>
    <t>2026-09-15 11:47:20</t>
  </si>
  <si>
    <t>2026-09-15 19:17:26</t>
  </si>
  <si>
    <t>5360055938820</t>
  </si>
  <si>
    <t>2026-09-15 11:47:48</t>
  </si>
  <si>
    <t>5358455776772</t>
  </si>
  <si>
    <t>2026-09-15 11:49:40</t>
  </si>
  <si>
    <t>5358991760644</t>
  </si>
  <si>
    <t>2026-09-15 11:51:44</t>
  </si>
  <si>
    <t>5358900161796</t>
  </si>
  <si>
    <t>2026-09-15 11:52:32</t>
  </si>
  <si>
    <t>FAB-MG</t>
  </si>
  <si>
    <t>2026-09-15 17:09:38</t>
  </si>
  <si>
    <t>5358900163332</t>
  </si>
  <si>
    <t>2026-09-15 11:52:35</t>
  </si>
  <si>
    <t>2026-09-15 11:53:27</t>
  </si>
  <si>
    <t>5358900191748</t>
  </si>
  <si>
    <t>2026-09-15 11:53:38</t>
  </si>
  <si>
    <t>2026-09-15 15:33:56</t>
  </si>
  <si>
    <t>5360861252868</t>
  </si>
  <si>
    <t>2026-09-15 11:56:16</t>
  </si>
  <si>
    <t>2026-09-15 13:11:53</t>
  </si>
  <si>
    <t>5360093374724</t>
  </si>
  <si>
    <t>2026-09-15 11:57:22</t>
  </si>
  <si>
    <t>2026-09-15 12:51:55</t>
  </si>
  <si>
    <t>5360105182724</t>
  </si>
  <si>
    <t>2026-09-15 11:57:51</t>
  </si>
  <si>
    <t>F OPT-MG</t>
  </si>
  <si>
    <t>5358898840068</t>
  </si>
  <si>
    <t>2026-09-15 12:00:50</t>
  </si>
  <si>
    <t>5359782435844</t>
  </si>
  <si>
    <t>2026-09-15 12:01:58</t>
  </si>
  <si>
    <t>2026-09-15 16:20:21</t>
  </si>
  <si>
    <t>5358908177668</t>
  </si>
  <si>
    <t>2026-09-15 12:03:37</t>
  </si>
  <si>
    <t>F SJN-MG</t>
  </si>
  <si>
    <t>2026-09-15 12:09:58</t>
  </si>
  <si>
    <t>5358908179204</t>
  </si>
  <si>
    <t>2026-09-15 17:02:04</t>
  </si>
  <si>
    <t>5360446990084</t>
  </si>
  <si>
    <t>2026-09-15 12:03:57</t>
  </si>
  <si>
    <t>5360341891076</t>
  </si>
  <si>
    <t>2026-09-15 12:07:03</t>
  </si>
  <si>
    <t>2026-09-16 11:01:26</t>
  </si>
  <si>
    <t>5359883478532</t>
  </si>
  <si>
    <t>2026-09-15 12:09:47</t>
  </si>
  <si>
    <t>5358900695300</t>
  </si>
  <si>
    <t>2026-09-15 12:12:01</t>
  </si>
  <si>
    <t>5358900704516</t>
  </si>
  <si>
    <t>2026-09-15 12:12:10</t>
  </si>
  <si>
    <t>2026-09-15 16:03:45</t>
  </si>
  <si>
    <t>5360458949380</t>
  </si>
  <si>
    <t>2026-09-15 12:12:17</t>
  </si>
  <si>
    <t>5358908521988</t>
  </si>
  <si>
    <t>2026-09-15 12:13:52</t>
  </si>
  <si>
    <t>5360458991620</t>
  </si>
  <si>
    <t>2026-09-15 12:14:03</t>
  </si>
  <si>
    <t>F TRC-MG</t>
  </si>
  <si>
    <t>2026-09-15 14:09:24</t>
  </si>
  <si>
    <t>5358900820484</t>
  </si>
  <si>
    <t>2026-09-15 12:16:58</t>
  </si>
  <si>
    <t>F STP-MG</t>
  </si>
  <si>
    <t>2026-09-15 13:08:54</t>
  </si>
  <si>
    <t>5360245431556</t>
  </si>
  <si>
    <t>2026-09-15 12:17:01</t>
  </si>
  <si>
    <t>2026-09-15 15:28:55</t>
  </si>
  <si>
    <t>5359883709188</t>
  </si>
  <si>
    <t>2026-09-15 12:17:05</t>
  </si>
  <si>
    <t>2026-09-16 11:13:59</t>
  </si>
  <si>
    <t>5359782793988</t>
  </si>
  <si>
    <t>2026-09-15 12:20:10</t>
  </si>
  <si>
    <t>2026-09-15 14:18:01</t>
  </si>
  <si>
    <t>5358908758276</t>
  </si>
  <si>
    <t>2026-09-15 12:21:03</t>
  </si>
  <si>
    <t>5359169862660</t>
  </si>
  <si>
    <t>2026-09-15 12:22:37</t>
  </si>
  <si>
    <t>2026-09-15 12:39:33</t>
  </si>
  <si>
    <t>5359782859012</t>
  </si>
  <si>
    <t>2026-09-15 12:22:46</t>
  </si>
  <si>
    <t>5358908812292</t>
  </si>
  <si>
    <t>2026-09-15 12:22:52</t>
  </si>
  <si>
    <t>5359719543812</t>
  </si>
  <si>
    <t>2026-09-15 12:24:21</t>
  </si>
  <si>
    <t>F CMC-MG</t>
  </si>
  <si>
    <t>2026-09-15 14:57:28</t>
  </si>
  <si>
    <t>5359655685380</t>
  </si>
  <si>
    <t>2026-09-15 12:27:55</t>
  </si>
  <si>
    <t>5359184374788</t>
  </si>
  <si>
    <t>2026-09-15 12:28:19</t>
  </si>
  <si>
    <t>2026-09-15 12:46:13</t>
  </si>
  <si>
    <t>5359887649284</t>
  </si>
  <si>
    <t>2026-09-15 12:29:09</t>
  </si>
  <si>
    <t>2026-09-15 13:28:24</t>
  </si>
  <si>
    <t>5361319034884</t>
  </si>
  <si>
    <t>2026-09-15 12:29:38</t>
  </si>
  <si>
    <t>2026-09-15 14:56:12</t>
  </si>
  <si>
    <t>5360582549252</t>
  </si>
  <si>
    <t>2026-09-15 12:31:02</t>
  </si>
  <si>
    <t>5361319179268</t>
  </si>
  <si>
    <t>2026-09-15 12:33:19</t>
  </si>
  <si>
    <t>5360462190852</t>
  </si>
  <si>
    <t>5361320516868</t>
  </si>
  <si>
    <t>2026-09-15 12:35:23</t>
  </si>
  <si>
    <t>2026-09-15 18:48:10</t>
  </si>
  <si>
    <t>5359535462404</t>
  </si>
  <si>
    <t>2026-09-15 12:35:27</t>
  </si>
  <si>
    <t>JDF-MG</t>
  </si>
  <si>
    <t>5359647497220</t>
  </si>
  <si>
    <t>2026-09-15 12:37:33</t>
  </si>
  <si>
    <t>5361322144004</t>
  </si>
  <si>
    <t>2026-09-15 12:38:28</t>
  </si>
  <si>
    <t>5359535529732</t>
  </si>
  <si>
    <t>2026-09-15 12:39:01</t>
  </si>
  <si>
    <t>2026-09-15 13:28:25</t>
  </si>
  <si>
    <t>5360868630788</t>
  </si>
  <si>
    <t>2026-09-15 12:39:03</t>
  </si>
  <si>
    <t>2026-09-15 16:39:48</t>
  </si>
  <si>
    <t>5360377918212</t>
  </si>
  <si>
    <t>2026-09-15 12:39:12</t>
  </si>
  <si>
    <t>2026-09-15 15:01:11</t>
  </si>
  <si>
    <t>5360245847812</t>
  </si>
  <si>
    <t>2026-09-15 12:39:22</t>
  </si>
  <si>
    <t>5359562139140</t>
  </si>
  <si>
    <t>2026-09-15 12:40:48</t>
  </si>
  <si>
    <t>2026-09-15 17:04:29</t>
  </si>
  <si>
    <t>5359655986948</t>
  </si>
  <si>
    <t>2026-09-15 15:03:13</t>
  </si>
  <si>
    <t>5361322235908</t>
  </si>
  <si>
    <t>2026-09-15 12:41:27</t>
  </si>
  <si>
    <t>2026-09-15 14:22:14</t>
  </si>
  <si>
    <t>5360377961988</t>
  </si>
  <si>
    <t>2026-09-15 12:41:32</t>
  </si>
  <si>
    <t>2026-09-15 14:55:08</t>
  </si>
  <si>
    <t>5360459622916</t>
  </si>
  <si>
    <t>2026-09-15 12:42:21</t>
  </si>
  <si>
    <t>2026-09-15 15:13:51</t>
  </si>
  <si>
    <t>5361319495940</t>
  </si>
  <si>
    <t>2026-09-15 12:43:26</t>
  </si>
  <si>
    <t>2026-09-15 15:17:52</t>
  </si>
  <si>
    <t>5360471254532</t>
  </si>
  <si>
    <t>2026-09-15 12:45:37</t>
  </si>
  <si>
    <t>2026-09-15 18:22:55</t>
  </si>
  <si>
    <t>5360360023556</t>
  </si>
  <si>
    <t>2026-09-15 12:55:26</t>
  </si>
  <si>
    <t>2026-09-15 14:59:25</t>
  </si>
  <si>
    <t>5359562540036</t>
  </si>
  <si>
    <t>2026-09-15 12:56:56</t>
  </si>
  <si>
    <t>5359185097476</t>
  </si>
  <si>
    <t>2026-09-15 12:58:18</t>
  </si>
  <si>
    <t>F IAJ-MG</t>
  </si>
  <si>
    <t>2026-09-15 13:03:23</t>
  </si>
  <si>
    <t>5361321206276</t>
  </si>
  <si>
    <t>2026-09-15 13:00:25</t>
  </si>
  <si>
    <t>2026-09-15 21:40:02</t>
  </si>
  <si>
    <t>5359562622468</t>
  </si>
  <si>
    <t>2026-09-15 13:00:37</t>
  </si>
  <si>
    <t>2026-09-15 15:53:03</t>
  </si>
  <si>
    <t>5359562762756</t>
  </si>
  <si>
    <t>2026-09-15 13:05:29</t>
  </si>
  <si>
    <t>2026-09-15 13:40:34</t>
  </si>
  <si>
    <t>5361321375492</t>
  </si>
  <si>
    <t>2026-09-15 13:05:39</t>
  </si>
  <si>
    <t>5359563663364</t>
  </si>
  <si>
    <t>2026-09-15 13:07:26</t>
  </si>
  <si>
    <t>2026-09-15 17:00:36</t>
  </si>
  <si>
    <t>5359650684164</t>
  </si>
  <si>
    <t>2026-09-15 13:08:52</t>
  </si>
  <si>
    <t>EMD-MG</t>
  </si>
  <si>
    <t>5359563723012</t>
  </si>
  <si>
    <t>2026-09-15 13:10:52</t>
  </si>
  <si>
    <t>F ARR 02-MG</t>
  </si>
  <si>
    <t>5360378657796</t>
  </si>
  <si>
    <t>2026-09-15 13:11:44</t>
  </si>
  <si>
    <t>2026-09-15 14:31:00</t>
  </si>
  <si>
    <t>5360460230148</t>
  </si>
  <si>
    <t>2026-09-15 16:58:06</t>
  </si>
  <si>
    <t>5359563040772</t>
  </si>
  <si>
    <t>2026-09-15 13:18:53</t>
  </si>
  <si>
    <t>5359656690948</t>
  </si>
  <si>
    <t>2026-09-15 13:19:11</t>
  </si>
  <si>
    <t>2026-09-15 16:13:47</t>
  </si>
  <si>
    <t>5359818867972</t>
  </si>
  <si>
    <t>2026-09-15 13:19:18</t>
  </si>
  <si>
    <t>5360273008900</t>
  </si>
  <si>
    <t>2026-09-15 13:20:13</t>
  </si>
  <si>
    <t>2026-09-15 14:56:16</t>
  </si>
  <si>
    <t>5360257035012</t>
  </si>
  <si>
    <t>2026-09-15 13:20:24</t>
  </si>
  <si>
    <t>2026-09-15 18:00:51</t>
  </si>
  <si>
    <t>5361318353412</t>
  </si>
  <si>
    <t>2026-09-15 13:21:05</t>
  </si>
  <si>
    <t>5360257129732</t>
  </si>
  <si>
    <t>2026-09-15 13:25:59</t>
  </si>
  <si>
    <t>2026-09-15 17:48:48</t>
  </si>
  <si>
    <t>5361506581252</t>
  </si>
  <si>
    <t>2026-09-15 13:27:17</t>
  </si>
  <si>
    <t>2026-09-15 22:45:41</t>
  </si>
  <si>
    <t>5360719143684</t>
  </si>
  <si>
    <t>2026-09-15 13:29:03</t>
  </si>
  <si>
    <t>2026-09-15 17:47:54</t>
  </si>
  <si>
    <t>5361318571268</t>
  </si>
  <si>
    <t>2026-09-15 13:30:52</t>
  </si>
  <si>
    <t>2026-09-16 10:26:48</t>
  </si>
  <si>
    <t>5360383437828</t>
  </si>
  <si>
    <t>2026-09-15 13:33:45</t>
  </si>
  <si>
    <t>2026-09-15 15:20:58</t>
  </si>
  <si>
    <t>5360961637380</t>
  </si>
  <si>
    <t>2026-09-15 13:36:22</t>
  </si>
  <si>
    <t>2026-09-15 14:51:12</t>
  </si>
  <si>
    <t>5359819177988</t>
  </si>
  <si>
    <t>2026-09-15 13:39:10</t>
  </si>
  <si>
    <t>NVL -MG</t>
  </si>
  <si>
    <t>2026-09-15 19:48:35</t>
  </si>
  <si>
    <t>5360721892868</t>
  </si>
  <si>
    <t>2026-09-15 13:46:22</t>
  </si>
  <si>
    <t>SJD -MG</t>
  </si>
  <si>
    <t>2026-09-16 09:02:01</t>
  </si>
  <si>
    <t>5361778985220</t>
  </si>
  <si>
    <t>2026-09-15 13:46:30</t>
  </si>
  <si>
    <t>F CGS-MG</t>
  </si>
  <si>
    <t>2026-09-15 15:09:34</t>
  </si>
  <si>
    <t>5359734045700</t>
  </si>
  <si>
    <t>2026-09-15 13:46:47</t>
  </si>
  <si>
    <t>5359735965444</t>
  </si>
  <si>
    <t>2026-09-15 13:49:09</t>
  </si>
  <si>
    <t>5359734096388</t>
  </si>
  <si>
    <t>2026-09-15 13:49:24</t>
  </si>
  <si>
    <t>5361688362244</t>
  </si>
  <si>
    <t>2026-09-15 13:50:48</t>
  </si>
  <si>
    <t>2026-09-15 14:13:14</t>
  </si>
  <si>
    <t>5359732730628</t>
  </si>
  <si>
    <t>2026-09-15 13:51:28</t>
  </si>
  <si>
    <t>CSP -MG</t>
  </si>
  <si>
    <t>2026-09-15 17:13:02</t>
  </si>
  <si>
    <t>5360481580804</t>
  </si>
  <si>
    <t>2026-09-15 13:52:41</t>
  </si>
  <si>
    <t>2026-09-15 14:41:49</t>
  </si>
  <si>
    <t>5360472551684</t>
  </si>
  <si>
    <t>2026-09-15 13:55:40</t>
  </si>
  <si>
    <t>2026-09-15 14:08:02</t>
  </si>
  <si>
    <t>5359903823620</t>
  </si>
  <si>
    <t>2026-09-15 13:56:17</t>
  </si>
  <si>
    <t>5362007457028</t>
  </si>
  <si>
    <t>2026-09-15 13:57:25</t>
  </si>
  <si>
    <t>2026-09-15 17:15:07</t>
  </si>
  <si>
    <t>5359734525956</t>
  </si>
  <si>
    <t>2026-09-15 13:59:50</t>
  </si>
  <si>
    <t>2026-09-15 17:36:18</t>
  </si>
  <si>
    <t>5362007662596</t>
  </si>
  <si>
    <t>2026-09-15 14:01:10</t>
  </si>
  <si>
    <t>2026-09-15 20:13:17</t>
  </si>
  <si>
    <t>5361251526148</t>
  </si>
  <si>
    <t>2026-09-15 14:03:14</t>
  </si>
  <si>
    <t>5359927467268</t>
  </si>
  <si>
    <t>2026-09-15 14:03:23</t>
  </si>
  <si>
    <t>5360740674820</t>
  </si>
  <si>
    <t>2026-09-15 14:03:34</t>
  </si>
  <si>
    <t>5359916492548</t>
  </si>
  <si>
    <t>2026-09-15 14:09:38</t>
  </si>
  <si>
    <t>5361704878852</t>
  </si>
  <si>
    <t>2026-09-15 14:10:45</t>
  </si>
  <si>
    <t>2026-09-15 20:37:19</t>
  </si>
  <si>
    <t>5361251823108</t>
  </si>
  <si>
    <t>2026-09-15 14:14:48</t>
  </si>
  <si>
    <t>BMN -MG</t>
  </si>
  <si>
    <t>2026-09-15 17:41:49</t>
  </si>
  <si>
    <t>5360722577668</t>
  </si>
  <si>
    <t>2026-09-15 14:17:13</t>
  </si>
  <si>
    <t>2026-09-15 14:51:54</t>
  </si>
  <si>
    <t>5361705004036</t>
  </si>
  <si>
    <t>2026-09-15 14:18:03</t>
  </si>
  <si>
    <t>5359916698884</t>
  </si>
  <si>
    <t>2026-09-15 14:19:41</t>
  </si>
  <si>
    <t>5361525556740</t>
  </si>
  <si>
    <t>2026-09-15 14:20:17</t>
  </si>
  <si>
    <t>5359916724740</t>
  </si>
  <si>
    <t>2026-09-15 14:21:07</t>
  </si>
  <si>
    <t>2026-09-15 14:43:03</t>
  </si>
  <si>
    <t>5361335262724</t>
  </si>
  <si>
    <t>2026-09-15 14:21:35</t>
  </si>
  <si>
    <t>2026-09-15 18:45:40</t>
  </si>
  <si>
    <t>5361547930884</t>
  </si>
  <si>
    <t>2026-09-15 14:24:55</t>
  </si>
  <si>
    <t>CAZ-MG</t>
  </si>
  <si>
    <t>5362012487684</t>
  </si>
  <si>
    <t>2026-09-15 14:26:09</t>
  </si>
  <si>
    <t>2026-09-15 17:25:31</t>
  </si>
  <si>
    <t>5360935294980</t>
  </si>
  <si>
    <t>2026-09-15 14:28:01</t>
  </si>
  <si>
    <t>F MCM-MG</t>
  </si>
  <si>
    <t>2026-09-15 15:25:39</t>
  </si>
  <si>
    <t>5361873633540</t>
  </si>
  <si>
    <t>2026-09-15 14:35:48</t>
  </si>
  <si>
    <t>2026-09-15 16:43:36</t>
  </si>
  <si>
    <t>5361078964996</t>
  </si>
  <si>
    <t>2026-09-15 14:35:53</t>
  </si>
  <si>
    <t>5359928412932</t>
  </si>
  <si>
    <t>2026-09-15 14:39:16</t>
  </si>
  <si>
    <t>PDE-MG</t>
  </si>
  <si>
    <t>2026-09-15 16:50:54</t>
  </si>
  <si>
    <t>5361548213252</t>
  </si>
  <si>
    <t>2026-09-15 14:40:42</t>
  </si>
  <si>
    <t>5361873787652</t>
  </si>
  <si>
    <t>2026-09-15 14:42:44</t>
  </si>
  <si>
    <t>2026-09-15 19:50:03</t>
  </si>
  <si>
    <t>5360640570372</t>
  </si>
  <si>
    <t>2026-09-15 14:44:51</t>
  </si>
  <si>
    <t>5361110133252</t>
  </si>
  <si>
    <t>2026-09-15 14:44:52</t>
  </si>
  <si>
    <t>2026-09-15 17:13:24</t>
  </si>
  <si>
    <t>5361525971460</t>
  </si>
  <si>
    <t>2026-09-15 14:45:20</t>
  </si>
  <si>
    <t>5361349931268</t>
  </si>
  <si>
    <t>2026-09-15 14:50:35</t>
  </si>
  <si>
    <t>2026-09-15 16:32:05</t>
  </si>
  <si>
    <t>5361548434692</t>
  </si>
  <si>
    <t>2026-09-15 14:52:41</t>
  </si>
  <si>
    <t>2026-09-15 15:50:17</t>
  </si>
  <si>
    <t>5361705591300</t>
  </si>
  <si>
    <t>2026-09-15 14:54:20</t>
  </si>
  <si>
    <t>2026-09-15 16:54:07</t>
  </si>
  <si>
    <t>5360640732932</t>
  </si>
  <si>
    <t>2026-09-15 14:55:01</t>
  </si>
  <si>
    <t>2026-09-15 18:04:30</t>
  </si>
  <si>
    <t>5360651812356</t>
  </si>
  <si>
    <t>2026-09-15 14:55:07</t>
  </si>
  <si>
    <t>5362073102596</t>
  </si>
  <si>
    <t>2026-09-15 14:56:18</t>
  </si>
  <si>
    <t>5361526188036</t>
  </si>
  <si>
    <t>2026-09-15 14:56:49</t>
  </si>
  <si>
    <t>F MHM-MG</t>
  </si>
  <si>
    <t>2026-09-15 15:23:36</t>
  </si>
  <si>
    <t>5360297974020</t>
  </si>
  <si>
    <t>2026-09-15 14:59:45</t>
  </si>
  <si>
    <t>2026-09-15 20:47:56</t>
  </si>
  <si>
    <t>5361240493316</t>
  </si>
  <si>
    <t>2026-09-15 15:00:26</t>
  </si>
  <si>
    <t>2026-09-15 20:19:39</t>
  </si>
  <si>
    <t>5360760500996</t>
  </si>
  <si>
    <t>2026-09-15 15:02:18</t>
  </si>
  <si>
    <t>5362036320516</t>
  </si>
  <si>
    <t>2026-09-15 15:02:44</t>
  </si>
  <si>
    <t>5360653695236</t>
  </si>
  <si>
    <t>2026-09-15 15:04:53</t>
  </si>
  <si>
    <t>SAB -MG</t>
  </si>
  <si>
    <t>2026-09-15 15:27:39</t>
  </si>
  <si>
    <t>5360653703684</t>
  </si>
  <si>
    <t>2026-09-15 15:05:17</t>
  </si>
  <si>
    <t>2026-09-15 22:58:17</t>
  </si>
  <si>
    <t>5361874352388</t>
  </si>
  <si>
    <t>2026-09-15 15:48:07</t>
  </si>
  <si>
    <t>5361350457604</t>
  </si>
  <si>
    <t>2026-09-15 15:13:41</t>
  </si>
  <si>
    <t>5360641100036</t>
  </si>
  <si>
    <t>2026-09-15 15:14:27</t>
  </si>
  <si>
    <t>5360760788740</t>
  </si>
  <si>
    <t>2026-09-15 15:16:33</t>
  </si>
  <si>
    <t>2026-09-15 17:01:13</t>
  </si>
  <si>
    <t>5362530964484</t>
  </si>
  <si>
    <t>2026-09-15 15:21:53</t>
  </si>
  <si>
    <t>2026-09-15 17:14:35</t>
  </si>
  <si>
    <t>5362530993924</t>
  </si>
  <si>
    <t>2026-09-15 15:24:02</t>
  </si>
  <si>
    <t>2026-09-15 15:40:27</t>
  </si>
  <si>
    <t>5360663696900</t>
  </si>
  <si>
    <t>2026-09-15 15:25:56</t>
  </si>
  <si>
    <t>2026-09-15 15:49:00</t>
  </si>
  <si>
    <t>5360760925956</t>
  </si>
  <si>
    <t>2026-09-15 15:26:18</t>
  </si>
  <si>
    <t>2026-09-15 16:09:28</t>
  </si>
  <si>
    <t>5361122696964</t>
  </si>
  <si>
    <t>2026-09-15 15:29:29</t>
  </si>
  <si>
    <t>5359933213956</t>
  </si>
  <si>
    <t>2026-09-15 15:33:41</t>
  </si>
  <si>
    <t>2026-09-15 15:29:11</t>
  </si>
  <si>
    <t>5361359805700</t>
  </si>
  <si>
    <t>2026-09-15 15:36:14</t>
  </si>
  <si>
    <t>2026-09-15 17:10:05</t>
  </si>
  <si>
    <t>5361730821636</t>
  </si>
  <si>
    <t>2026-09-15 15:36:26</t>
  </si>
  <si>
    <t>2026-09-15 16:58:01</t>
  </si>
  <si>
    <t>5361798085124</t>
  </si>
  <si>
    <t>2026-09-15 15:37:46</t>
  </si>
  <si>
    <t>5361264700932</t>
  </si>
  <si>
    <t>2026-09-15 15:39:24</t>
  </si>
  <si>
    <t>2026-09-15 16:31:03</t>
  </si>
  <si>
    <t>5362036915716</t>
  </si>
  <si>
    <t>2026-09-15 15:40:34</t>
  </si>
  <si>
    <t>5362531235844</t>
  </si>
  <si>
    <t>2026-09-15 15:41:46</t>
  </si>
  <si>
    <t>2026-09-15 19:16:28</t>
  </si>
  <si>
    <t>5361717312260</t>
  </si>
  <si>
    <t>2026-09-15 15:44:53</t>
  </si>
  <si>
    <t>5360663979780</t>
  </si>
  <si>
    <t>2026-09-15 15:47:00</t>
  </si>
  <si>
    <t>2026-09-15 16:00:16</t>
  </si>
  <si>
    <t>5361264823044</t>
  </si>
  <si>
    <t>2026-09-15 15:51:19</t>
  </si>
  <si>
    <t>5361889613316</t>
  </si>
  <si>
    <t>2026-09-15 15:56:33</t>
  </si>
  <si>
    <t>2026-09-16 11:47:36</t>
  </si>
  <si>
    <t>5361889616900</t>
  </si>
  <si>
    <t>2026-09-15 15:56:41</t>
  </si>
  <si>
    <t>5362074089732</t>
  </si>
  <si>
    <t>2026-09-15 15:59:54</t>
  </si>
  <si>
    <t>5361123631876</t>
  </si>
  <si>
    <t>2026-09-15 16:05:46</t>
  </si>
  <si>
    <t>2026-09-15 21:16:16</t>
  </si>
  <si>
    <t>5361290701572</t>
  </si>
  <si>
    <t>2026-09-15 16:13:23</t>
  </si>
  <si>
    <t>5361389090564</t>
  </si>
  <si>
    <t>2026-09-15 16:14:59</t>
  </si>
  <si>
    <t>5362700723972</t>
  </si>
  <si>
    <t>2026-09-15 16:15:40</t>
  </si>
  <si>
    <t>2026-09-15 19:01:25</t>
  </si>
  <si>
    <t>5362934021124</t>
  </si>
  <si>
    <t>2026-09-15 16:15:42</t>
  </si>
  <si>
    <t>5362794588676</t>
  </si>
  <si>
    <t>2026-09-15 16:19:39</t>
  </si>
  <si>
    <t>5361377207812</t>
  </si>
  <si>
    <t>2026-09-15 16:21:44</t>
  </si>
  <si>
    <t>2026-09-16 00:05:30</t>
  </si>
  <si>
    <t>5362906778116</t>
  </si>
  <si>
    <t>2026-09-15 16:22:32</t>
  </si>
  <si>
    <t>2026-09-16 10:38:23</t>
  </si>
  <si>
    <t>5361366339588</t>
  </si>
  <si>
    <t>2026-09-15 16:23:32</t>
  </si>
  <si>
    <t>5361366369796</t>
  </si>
  <si>
    <t>2026-09-15 16:26:30</t>
  </si>
  <si>
    <t>2026-09-16 00:09:18</t>
  </si>
  <si>
    <t>5362906871300</t>
  </si>
  <si>
    <t>2026-09-15 16:30:24</t>
  </si>
  <si>
    <t>F BDP-MG</t>
  </si>
  <si>
    <t>5362385270020</t>
  </si>
  <si>
    <t>2026-09-15 16:31:28</t>
  </si>
  <si>
    <t>F MTL-MG</t>
  </si>
  <si>
    <t>2026-09-16 10:53:50</t>
  </si>
  <si>
    <t>5363360574468</t>
  </si>
  <si>
    <t>2026-09-15 16:31:29</t>
  </si>
  <si>
    <t>5361290937348</t>
  </si>
  <si>
    <t>2026-09-15 16:34:33</t>
  </si>
  <si>
    <t>5362934321412</t>
  </si>
  <si>
    <t>2026-09-15 16:36:54</t>
  </si>
  <si>
    <t>2026-09-16 10:32:30</t>
  </si>
  <si>
    <t>5362719948548</t>
  </si>
  <si>
    <t>2026-09-15 16:38:19</t>
  </si>
  <si>
    <t>5361389550596</t>
  </si>
  <si>
    <t>2026-09-15 16:39:15</t>
  </si>
  <si>
    <t>2026-09-16 09:36:16</t>
  </si>
  <si>
    <t>5361313413380</t>
  </si>
  <si>
    <t>2026-09-15 16:43:38</t>
  </si>
  <si>
    <t>5361034173444</t>
  </si>
  <si>
    <t>2026-09-15 16:46:08</t>
  </si>
  <si>
    <t>ITU -MG</t>
  </si>
  <si>
    <t>5362255160836</t>
  </si>
  <si>
    <t>2026-09-15 16:46:12</t>
  </si>
  <si>
    <t>5361291075332</t>
  </si>
  <si>
    <t>2026-09-15 16:46:54</t>
  </si>
  <si>
    <t>2026-09-15 19:24:16</t>
  </si>
  <si>
    <t>5361291084036</t>
  </si>
  <si>
    <t>2026-09-15 16:47:49</t>
  </si>
  <si>
    <t>5361587242500</t>
  </si>
  <si>
    <t>2026-09-15 16:49:02</t>
  </si>
  <si>
    <t>5362127164932</t>
  </si>
  <si>
    <t>2026-09-15 16:50:53</t>
  </si>
  <si>
    <t>2026-09-15 20:32:21</t>
  </si>
  <si>
    <t>5363350111236</t>
  </si>
  <si>
    <t>2026-09-15 16:51:34</t>
  </si>
  <si>
    <t>2026-09-15 17:52:52</t>
  </si>
  <si>
    <t>5361861049348</t>
  </si>
  <si>
    <t>2026-09-15 16:52:27</t>
  </si>
  <si>
    <t>2026-09-15 20:39:48</t>
  </si>
  <si>
    <t>5362701114628</t>
  </si>
  <si>
    <t>2026-09-15 16:53:35</t>
  </si>
  <si>
    <t>5361036634628</t>
  </si>
  <si>
    <t>2026-09-15 16:53:50</t>
  </si>
  <si>
    <t>5362720173060</t>
  </si>
  <si>
    <t>2026-09-15 16:55:38</t>
  </si>
  <si>
    <t>2026-09-15 18:04:23</t>
  </si>
  <si>
    <t>5362382102276</t>
  </si>
  <si>
    <t>2026-09-15 17:01:17</t>
  </si>
  <si>
    <t>5362948627460</t>
  </si>
  <si>
    <t>2026-09-15 17:02:01</t>
  </si>
  <si>
    <t>5362720404740</t>
  </si>
  <si>
    <t>2026-09-15 17:08:04</t>
  </si>
  <si>
    <t>2026-09-16 10:38:27</t>
  </si>
  <si>
    <t>5362575941892</t>
  </si>
  <si>
    <t>2026-09-15 17:09:50</t>
  </si>
  <si>
    <t>5362720489732</t>
  </si>
  <si>
    <t>2026-09-15 17:13:56</t>
  </si>
  <si>
    <t>5363623617028</t>
  </si>
  <si>
    <t>2026-09-15 17:15:41</t>
  </si>
  <si>
    <t>2026-09-16 08:36:49</t>
  </si>
  <si>
    <t>5363350454020</t>
  </si>
  <si>
    <t>2026-09-15 17:15:58</t>
  </si>
  <si>
    <t>5362723798020</t>
  </si>
  <si>
    <t>2026-09-15 17:16:57</t>
  </si>
  <si>
    <t>5363624666884</t>
  </si>
  <si>
    <t>2026-09-15 17:18:16</t>
  </si>
  <si>
    <t>5362956529156</t>
  </si>
  <si>
    <t>2026-09-15 17:23:42</t>
  </si>
  <si>
    <t>5361037147908</t>
  </si>
  <si>
    <t>2026-09-15 17:23:44</t>
  </si>
  <si>
    <t>5362127636228</t>
  </si>
  <si>
    <t>2026-09-15 17:24:24</t>
  </si>
  <si>
    <t>F BHZ 19-MG</t>
  </si>
  <si>
    <t>2026-09-16 11:21:01</t>
  </si>
  <si>
    <t>5363365257220</t>
  </si>
  <si>
    <t>2026-09-15 17:25:22</t>
  </si>
  <si>
    <t>5362585997060</t>
  </si>
  <si>
    <t>2026-09-15 17:25:32</t>
  </si>
  <si>
    <t>5362948915972</t>
  </si>
  <si>
    <t>2026-09-15 17:25:45</t>
  </si>
  <si>
    <t>2026-09-16 11:32:17</t>
  </si>
  <si>
    <t>5362957866756</t>
  </si>
  <si>
    <t>2026-09-15 17:26:00</t>
  </si>
  <si>
    <t>5362382541572</t>
  </si>
  <si>
    <t>2026-09-15 17:26:48</t>
  </si>
  <si>
    <t>2026-09-16 09:24:18</t>
  </si>
  <si>
    <t>5363623894020</t>
  </si>
  <si>
    <t>2026-09-15 17:27:46</t>
  </si>
  <si>
    <t>IGP-MG</t>
  </si>
  <si>
    <t>5363361479428</t>
  </si>
  <si>
    <t>2026-09-15 17:29:05</t>
  </si>
  <si>
    <t>5361314040836</t>
  </si>
  <si>
    <t>2026-09-15 17:32:35</t>
  </si>
  <si>
    <t>5362398816260</t>
  </si>
  <si>
    <t>5363623976708</t>
  </si>
  <si>
    <t>2026-09-15 17:33:39</t>
  </si>
  <si>
    <t>5362661906692</t>
  </si>
  <si>
    <t>2026-09-15 17:34:35</t>
  </si>
  <si>
    <t>5362724117508</t>
  </si>
  <si>
    <t>2026-09-15 17:35:12</t>
  </si>
  <si>
    <t>5361037285380</t>
  </si>
  <si>
    <t>2026-09-15 17:36:49</t>
  </si>
  <si>
    <t>5362956714500</t>
  </si>
  <si>
    <t>2026-09-15 17:38:12</t>
  </si>
  <si>
    <t>5363365428740</t>
  </si>
  <si>
    <t>2026-09-15 17:38:19</t>
  </si>
  <si>
    <t>5361037347076</t>
  </si>
  <si>
    <t>2026-09-15 17:41:33</t>
  </si>
  <si>
    <t>2026-09-16 10:30:52</t>
  </si>
  <si>
    <t>5362127848964</t>
  </si>
  <si>
    <t>2026-09-15 17:41:51</t>
  </si>
  <si>
    <t>5363365474308</t>
  </si>
  <si>
    <t>2026-09-15 17:42:19</t>
  </si>
  <si>
    <t>5362280559108</t>
  </si>
  <si>
    <t>2026-09-15 17:42:27</t>
  </si>
  <si>
    <t>5362949126404</t>
  </si>
  <si>
    <t>2026-09-15 17:45:25</t>
  </si>
  <si>
    <t>5363365520388</t>
  </si>
  <si>
    <t>2026-09-15 17:46:09</t>
  </si>
  <si>
    <t>5363076025604</t>
  </si>
  <si>
    <t>2026-09-15 17:49:26</t>
  </si>
  <si>
    <t>2026-09-16 09:11:49</t>
  </si>
  <si>
    <t>5363350846980</t>
  </si>
  <si>
    <t>2026-09-15 17:49:39</t>
  </si>
  <si>
    <t>5361037442052</t>
  </si>
  <si>
    <t>2026-09-15 17:49:57</t>
  </si>
  <si>
    <t>5362399081220</t>
  </si>
  <si>
    <t>2026-09-15 17:50:47</t>
  </si>
  <si>
    <t>5363624229636</t>
  </si>
  <si>
    <t>2026-09-15 17:50:54</t>
  </si>
  <si>
    <t>2026-09-15 22:14:44</t>
  </si>
  <si>
    <t>5363624238340</t>
  </si>
  <si>
    <t>2026-09-15 17:51:17</t>
  </si>
  <si>
    <t>5363807415556</t>
  </si>
  <si>
    <t>2026-09-15 17:54:38</t>
  </si>
  <si>
    <t>5363807418116</t>
  </si>
  <si>
    <t>2026-09-15 17:54:49</t>
  </si>
  <si>
    <t>5361037505028</t>
  </si>
  <si>
    <t>5363902569732</t>
  </si>
  <si>
    <t>2026-09-15 17:57:02</t>
  </si>
  <si>
    <t>F PDS-MG</t>
  </si>
  <si>
    <t>5361037573380</t>
  </si>
  <si>
    <t>SGF-MG</t>
  </si>
  <si>
    <t>5362949278468</t>
  </si>
  <si>
    <t>2026-09-15 18:00:58</t>
  </si>
  <si>
    <t>5362965584132</t>
  </si>
  <si>
    <t>2026-09-15 18:05:35</t>
  </si>
  <si>
    <t>5362399329028</t>
  </si>
  <si>
    <t>2026-09-15 18:06:18</t>
  </si>
  <si>
    <t>2026-09-16 10:14:08</t>
  </si>
  <si>
    <t>5362662361604</t>
  </si>
  <si>
    <t>5363549772036</t>
  </si>
  <si>
    <t>2026-09-15 18:12:47</t>
  </si>
  <si>
    <t>5361037700356</t>
  </si>
  <si>
    <t>2026-09-15 18:15:08</t>
  </si>
  <si>
    <t>2026-09-15 20:26:03</t>
  </si>
  <si>
    <t>5363807665412</t>
  </si>
  <si>
    <t>2026-09-15 18:21:23</t>
  </si>
  <si>
    <t>5363625425156</t>
  </si>
  <si>
    <t>2026-09-15 18:21:41</t>
  </si>
  <si>
    <t>ABC-MG</t>
  </si>
  <si>
    <t>2026-09-15 20:45:08</t>
  </si>
  <si>
    <t>5361038767876</t>
  </si>
  <si>
    <t>2026-09-15 18:22:09</t>
  </si>
  <si>
    <t>5363455627012</t>
  </si>
  <si>
    <t>2026-09-15 18:24:29</t>
  </si>
  <si>
    <t>2026-09-15 23:44:48</t>
  </si>
  <si>
    <t>5362965763332</t>
  </si>
  <si>
    <t>2026-09-15 18:24:53</t>
  </si>
  <si>
    <t>5363630595844</t>
  </si>
  <si>
    <t>2026-09-15 18:30:23</t>
  </si>
  <si>
    <t>5362742984196</t>
  </si>
  <si>
    <t>2026-09-15 18:30:36</t>
  </si>
  <si>
    <t>5363539084804</t>
  </si>
  <si>
    <t>2026-09-15 18:35:33</t>
  </si>
  <si>
    <t>5361038912260</t>
  </si>
  <si>
    <t>2026-09-15 18:35:39</t>
  </si>
  <si>
    <t>5363903003396</t>
  </si>
  <si>
    <t>2026-09-15 18:35:59</t>
  </si>
  <si>
    <t>5363550028548</t>
  </si>
  <si>
    <t>2026-09-15 18:37:29</t>
  </si>
  <si>
    <t>5363809247492</t>
  </si>
  <si>
    <t>2026-09-15 18:44:18</t>
  </si>
  <si>
    <t>5362958669060</t>
  </si>
  <si>
    <t>2026-09-15 18:45:01</t>
  </si>
  <si>
    <t>5363632664580</t>
  </si>
  <si>
    <t>2026-09-15 18:49:25</t>
  </si>
  <si>
    <t>BDC-MG</t>
  </si>
  <si>
    <t>5363267302404</t>
  </si>
  <si>
    <t>2026-09-15 18:50:26</t>
  </si>
  <si>
    <t>5363455859460</t>
  </si>
  <si>
    <t>2026-09-15 18:50:52</t>
  </si>
  <si>
    <t>5362662797060</t>
  </si>
  <si>
    <t>2026-09-15 18:58:12</t>
  </si>
  <si>
    <t>2026-09-16 11:50:59</t>
  </si>
  <si>
    <t>5362281294340</t>
  </si>
  <si>
    <t>2026-09-15 19:05:20</t>
  </si>
  <si>
    <t>5361941155844</t>
  </si>
  <si>
    <t>2026-09-15 19:05:58</t>
  </si>
  <si>
    <t>5363267485188</t>
  </si>
  <si>
    <t>2026-09-15 19:08:54</t>
  </si>
  <si>
    <t>5361039324676</t>
  </si>
  <si>
    <t>2026-09-15 19:09:53</t>
  </si>
  <si>
    <t>5363539589124</t>
  </si>
  <si>
    <t>2026-09-15 19:10:09</t>
  </si>
  <si>
    <t>5363808227588</t>
  </si>
  <si>
    <t>2026-09-15 19:14:08</t>
  </si>
  <si>
    <t>5362743420932</t>
  </si>
  <si>
    <t>2026-09-15 19:14:13</t>
  </si>
  <si>
    <t>5362758284036</t>
  </si>
  <si>
    <t>2026-09-15 19:22:16</t>
  </si>
  <si>
    <t>5363808347140</t>
  </si>
  <si>
    <t>2026-09-15 19:24:34</t>
  </si>
  <si>
    <t>5363547750660</t>
  </si>
  <si>
    <t>2026-09-15 19:25:01</t>
  </si>
  <si>
    <t>5362966347268</t>
  </si>
  <si>
    <t>2026-09-15 19:25:27</t>
  </si>
  <si>
    <t>2026-09-15 22:14:29</t>
  </si>
  <si>
    <t>5363267710980</t>
  </si>
  <si>
    <t>2026-09-15 19:25:30</t>
  </si>
  <si>
    <t>5362968093188</t>
  </si>
  <si>
    <t>2026-09-15 19:28:09</t>
  </si>
  <si>
    <t>5363539887364</t>
  </si>
  <si>
    <t>2026-09-15 19:28:27</t>
  </si>
  <si>
    <t>2026-09-15 22:20:03</t>
  </si>
  <si>
    <t>5362959138564</t>
  </si>
  <si>
    <t>2026-09-15 19:29:27</t>
  </si>
  <si>
    <t>5363286736388</t>
  </si>
  <si>
    <t>2026-09-15 19:33:19</t>
  </si>
  <si>
    <t>5363633267716</t>
  </si>
  <si>
    <t>2026-09-15 19:33:52</t>
  </si>
  <si>
    <t>5363286811652</t>
  </si>
  <si>
    <t>2026-09-15 19:38:29</t>
  </si>
  <si>
    <t>2026-09-16 11:28:33</t>
  </si>
  <si>
    <t>5363107537924</t>
  </si>
  <si>
    <t>2026-09-15 19:43:53</t>
  </si>
  <si>
    <t>5363114696452</t>
  </si>
  <si>
    <t>2026-09-15 19:48:30</t>
  </si>
  <si>
    <t>2026-09-15 21:53:03</t>
  </si>
  <si>
    <t>5363466598660</t>
  </si>
  <si>
    <t>2026-09-15 19:49:15</t>
  </si>
  <si>
    <t>5363286993412</t>
  </si>
  <si>
    <t>2026-09-15 19:51:10</t>
  </si>
  <si>
    <t>2026-09-15 21:50:35</t>
  </si>
  <si>
    <t>5363268053252</t>
  </si>
  <si>
    <t>2026-09-15 19:52:49</t>
  </si>
  <si>
    <t>F AAD-MG</t>
  </si>
  <si>
    <t>2026-09-16 11:16:24</t>
  </si>
  <si>
    <t>5362754217220</t>
  </si>
  <si>
    <t>2026-09-15 19:54:38</t>
  </si>
  <si>
    <t>5363548145156</t>
  </si>
  <si>
    <t>2026-09-15 19:55:50</t>
  </si>
  <si>
    <t>5363821838084</t>
  </si>
  <si>
    <t>2026-09-15 19:56:54</t>
  </si>
  <si>
    <t>5363114816516</t>
  </si>
  <si>
    <t>2026-09-15 19:57:47</t>
  </si>
  <si>
    <t>5362762760964</t>
  </si>
  <si>
    <t>2026-09-15 19:57:52</t>
  </si>
  <si>
    <t>2026-09-15 20:04:40</t>
  </si>
  <si>
    <t>5362754308868</t>
  </si>
  <si>
    <t>2026-09-15 19:59:10</t>
  </si>
  <si>
    <t>5363838412292</t>
  </si>
  <si>
    <t>2026-09-15 20:04:53</t>
  </si>
  <si>
    <t>F SAB-MG</t>
  </si>
  <si>
    <t>5362759091972</t>
  </si>
  <si>
    <t>2026-09-15 20:06:34</t>
  </si>
  <si>
    <t>5363821978628</t>
  </si>
  <si>
    <t>2026-09-15 20:07:24</t>
  </si>
  <si>
    <t>5362762917124</t>
  </si>
  <si>
    <t>2026-09-15 20:07:37</t>
  </si>
  <si>
    <t>5362417803780</t>
  </si>
  <si>
    <t>2026-09-15 20:08:33</t>
  </si>
  <si>
    <t>5363487934724</t>
  </si>
  <si>
    <t>2026-09-15 20:12:46</t>
  </si>
  <si>
    <t>5363631788548</t>
  </si>
  <si>
    <t>2026-09-15 20:14:52</t>
  </si>
  <si>
    <t>5363635767044</t>
  </si>
  <si>
    <t>2026-09-15 20:15:38</t>
  </si>
  <si>
    <t>5363115093764</t>
  </si>
  <si>
    <t>2026-09-15 20:17:59</t>
  </si>
  <si>
    <t>5362759533060</t>
  </si>
  <si>
    <t>2026-09-15 20:21:34</t>
  </si>
  <si>
    <t>5362763343108</t>
  </si>
  <si>
    <t>2026-09-15 20:22:51</t>
  </si>
  <si>
    <t>2026-09-16 10:23:24</t>
  </si>
  <si>
    <t>5362302450692</t>
  </si>
  <si>
    <t>2026-09-15 20:24:09</t>
  </si>
  <si>
    <t>5363485349892</t>
  </si>
  <si>
    <t>2026-09-15 20:24:51</t>
  </si>
  <si>
    <t>5363485368324</t>
  </si>
  <si>
    <t>2026-09-15 20:25:30</t>
  </si>
  <si>
    <t>5363822323204</t>
  </si>
  <si>
    <t>2026-09-15 20:28:57</t>
  </si>
  <si>
    <t>5363632125700</t>
  </si>
  <si>
    <t>2026-09-15 20:31:29</t>
  </si>
  <si>
    <t>5362418471940</t>
  </si>
  <si>
    <t>2026-09-15 20:34:26</t>
  </si>
  <si>
    <t>5363287857412</t>
  </si>
  <si>
    <t>2026-09-15 20:38:34</t>
  </si>
  <si>
    <t>F PPY 02-MG</t>
  </si>
  <si>
    <t>5362763715844</t>
  </si>
  <si>
    <t>2026-09-15 20:38:52</t>
  </si>
  <si>
    <t>JUB -MG</t>
  </si>
  <si>
    <t>5362305730308</t>
  </si>
  <si>
    <t>2026-09-15 20:43:20</t>
  </si>
  <si>
    <t>5363489638660</t>
  </si>
  <si>
    <t>2026-09-15 20:43:23</t>
  </si>
  <si>
    <t>5362781582596</t>
  </si>
  <si>
    <t>2026-09-15 20:43:41</t>
  </si>
  <si>
    <t>5362784332548</t>
  </si>
  <si>
    <t>5363299275012</t>
  </si>
  <si>
    <t>2026-09-15 20:45:19</t>
  </si>
  <si>
    <t>2026-09-16 10:02:27</t>
  </si>
  <si>
    <t>5364276328196</t>
  </si>
  <si>
    <t>2026-09-15 20:56:35</t>
  </si>
  <si>
    <t>5362769496580</t>
  </si>
  <si>
    <t>2026-09-15 21:01:16</t>
  </si>
  <si>
    <t>5364276491780</t>
  </si>
  <si>
    <t>2026-09-15 21:03:47</t>
  </si>
  <si>
    <t>5364110240260</t>
  </si>
  <si>
    <t>2026-09-15 21:04:24</t>
  </si>
  <si>
    <t>OLV -MG</t>
  </si>
  <si>
    <t>5363136526596</t>
  </si>
  <si>
    <t>2026-09-15 21:05:00</t>
  </si>
  <si>
    <t>BTM 02-MG</t>
  </si>
  <si>
    <t>5363299654404</t>
  </si>
  <si>
    <t>2026-09-15 21:06:22</t>
  </si>
  <si>
    <t>2026-09-16 09:21:46</t>
  </si>
  <si>
    <t>5362784893956</t>
  </si>
  <si>
    <t>2026-09-15 21:06:46</t>
  </si>
  <si>
    <t>2026-09-16 10:10:01</t>
  </si>
  <si>
    <t>5363501921028</t>
  </si>
  <si>
    <t>2026-09-15 21:07:16</t>
  </si>
  <si>
    <t>5363644890628</t>
  </si>
  <si>
    <t>2026-09-15 21:08:28</t>
  </si>
  <si>
    <t>5364267462916</t>
  </si>
  <si>
    <t>2026-09-15 21:10:38</t>
  </si>
  <si>
    <t>5364727567876</t>
  </si>
  <si>
    <t>2026-09-15 21:11:13</t>
  </si>
  <si>
    <t>2026-09-16 10:37:31</t>
  </si>
  <si>
    <t>5363955161860</t>
  </si>
  <si>
    <t>2026-09-15 21:12:34</t>
  </si>
  <si>
    <t>5362782532868</t>
  </si>
  <si>
    <t>2026-09-15 21:17:12</t>
  </si>
  <si>
    <t>5364267756036</t>
  </si>
  <si>
    <t>2026-09-15 21:22:25</t>
  </si>
  <si>
    <t>5364110638596</t>
  </si>
  <si>
    <t>2026-09-15 21:25:20</t>
  </si>
  <si>
    <t>5364738289156</t>
  </si>
  <si>
    <t>2026-09-15 21:29:14</t>
  </si>
  <si>
    <t>2026-09-16 11:41:40</t>
  </si>
  <si>
    <t>5363873691652</t>
  </si>
  <si>
    <t>2026-09-15 21:30:45</t>
  </si>
  <si>
    <t>5363137407492</t>
  </si>
  <si>
    <t>2026-09-15 21:37:08</t>
  </si>
  <si>
    <t>5364738717444</t>
  </si>
  <si>
    <t>2026-09-15 21:38:05</t>
  </si>
  <si>
    <t>5364380301316</t>
  </si>
  <si>
    <t>2026-09-15 21:39:06</t>
  </si>
  <si>
    <t>2026-09-16 09:02:17</t>
  </si>
  <si>
    <t>5362789890564</t>
  </si>
  <si>
    <t>2026-09-15 21:41:40</t>
  </si>
  <si>
    <t>5364281844228</t>
  </si>
  <si>
    <t>2026-09-15 21:47:16</t>
  </si>
  <si>
    <t>5364139059716</t>
  </si>
  <si>
    <t>2026-09-15 21:49:50</t>
  </si>
  <si>
    <t>5364750483972</t>
  </si>
  <si>
    <t>2026-09-15 21:50:39</t>
  </si>
  <si>
    <t>5363586888196</t>
  </si>
  <si>
    <t>2026-09-15 21:53:59</t>
  </si>
  <si>
    <t>2026-09-16 10:18:40</t>
  </si>
  <si>
    <t>5364550324484</t>
  </si>
  <si>
    <t>2026-09-15 22:01:06</t>
  </si>
  <si>
    <t>F CET-MG</t>
  </si>
  <si>
    <t>5364381312260</t>
  </si>
  <si>
    <t>2026-09-15 22:01:15</t>
  </si>
  <si>
    <t>5364221602308</t>
  </si>
  <si>
    <t>2026-09-15 22:06:12</t>
  </si>
  <si>
    <t>5364584807684</t>
  </si>
  <si>
    <t>2026-09-15 22:08:37</t>
  </si>
  <si>
    <t>5364221755908</t>
  </si>
  <si>
    <t>2026-09-15 22:10:16</t>
  </si>
  <si>
    <t>5365464518660</t>
  </si>
  <si>
    <t>2026-09-15 22:11:29</t>
  </si>
  <si>
    <t>5364239156996</t>
  </si>
  <si>
    <t>2026-09-15 22:11:41</t>
  </si>
  <si>
    <t>5364140257540</t>
  </si>
  <si>
    <t>2026-09-15 22:15:21</t>
  </si>
  <si>
    <t>2026-09-16 10:54:45</t>
  </si>
  <si>
    <t>5364953264388</t>
  </si>
  <si>
    <t>2026-09-15 22:15:40</t>
  </si>
  <si>
    <t>2026-09-15 23:27:44</t>
  </si>
  <si>
    <t>5364227558660</t>
  </si>
  <si>
    <t>2026-09-15 22:31:55</t>
  </si>
  <si>
    <t>STZ -MG</t>
  </si>
  <si>
    <t>5364239830532</t>
  </si>
  <si>
    <t>2026-09-15 22:33:46</t>
  </si>
  <si>
    <t>5364954194692</t>
  </si>
  <si>
    <t>2026-09-15 22:39:36</t>
  </si>
  <si>
    <t>5365558290180</t>
  </si>
  <si>
    <t>2026-09-15 22:40:20</t>
  </si>
  <si>
    <t>5365558754052</t>
  </si>
  <si>
    <t>2026-09-15 22:48:49</t>
  </si>
  <si>
    <t>5365341934340</t>
  </si>
  <si>
    <t>2026-09-15 22:54:37</t>
  </si>
  <si>
    <t>5365200179204</t>
  </si>
  <si>
    <t>2026-09-15 23:04:26</t>
  </si>
  <si>
    <t>2026-09-16 09:36:32</t>
  </si>
  <si>
    <t>5365928535044</t>
  </si>
  <si>
    <t>2026-09-15 23:06:56</t>
  </si>
  <si>
    <t>5365225909508</t>
  </si>
  <si>
    <t>2026-09-15 23:15:34</t>
  </si>
  <si>
    <t>5366149641732</t>
  </si>
  <si>
    <t>2026-09-15 23:20:10</t>
  </si>
  <si>
    <t>SZD-MG</t>
  </si>
  <si>
    <t>5365583487236</t>
  </si>
  <si>
    <t>2026-09-15 23:29:17</t>
  </si>
  <si>
    <t>5366040072452</t>
  </si>
  <si>
    <t>2026-09-15 23:32:03</t>
  </si>
  <si>
    <t>2026-09-16 10:07:54</t>
  </si>
  <si>
    <t>5364448922884</t>
  </si>
  <si>
    <t>2026-09-15 23:37:20</t>
  </si>
  <si>
    <t>5365597331204</t>
  </si>
  <si>
    <t>2026-09-15 23:38:33</t>
  </si>
  <si>
    <t>5365944809732</t>
  </si>
  <si>
    <t>2026-09-15 23:44:08</t>
  </si>
  <si>
    <t>5364994044932</t>
  </si>
  <si>
    <t>2026-09-15 23:46:54</t>
  </si>
  <si>
    <t>5367037508356</t>
  </si>
  <si>
    <t>2026-09-15 23:52:38</t>
  </si>
  <si>
    <t>5366073037316</t>
  </si>
  <si>
    <t>2026-09-16 00:08:28</t>
  </si>
  <si>
    <t>5366086506756</t>
  </si>
  <si>
    <t>2026-09-16 00:45:25</t>
  </si>
  <si>
    <t>FUN-MG</t>
  </si>
  <si>
    <t>5366528653828</t>
  </si>
  <si>
    <t>2026-09-16 00:48:42</t>
  </si>
  <si>
    <t>5366819343876</t>
  </si>
  <si>
    <t>2026-09-16 00:56:43</t>
  </si>
  <si>
    <t>5367254855172</t>
  </si>
  <si>
    <t>2026-09-16 01:19:46</t>
  </si>
  <si>
    <t>5367714274564</t>
  </si>
  <si>
    <t>2026-09-16 01:37:05</t>
  </si>
  <si>
    <t>5368659341060</t>
  </si>
  <si>
    <t>2026-09-16 01:57:46</t>
  </si>
  <si>
    <t>5367111035908</t>
  </si>
  <si>
    <t>2026-09-16 02:14:02</t>
  </si>
  <si>
    <t>5369438195716</t>
  </si>
  <si>
    <t>2026-09-16 02:43:52</t>
  </si>
  <si>
    <t>5370401539076</t>
  </si>
  <si>
    <t>2026-09-16 03:38:17</t>
  </si>
  <si>
    <t>2026-09-16 10:31:29</t>
  </si>
  <si>
    <t>5370081349636</t>
  </si>
  <si>
    <t>2026-09-16 03:42:05</t>
  </si>
  <si>
    <t>2026-09-16 11:44:18</t>
  </si>
  <si>
    <t>5370578689540</t>
  </si>
  <si>
    <t>2026-09-16 05:05:13</t>
  </si>
  <si>
    <t>5371834452996</t>
  </si>
  <si>
    <t>2026-09-16 05:07:35</t>
  </si>
  <si>
    <t>5371857572100</t>
  </si>
  <si>
    <t>2026-09-16 05:23:08</t>
  </si>
  <si>
    <t>5370857305860</t>
  </si>
  <si>
    <t>2026-09-16 05:29:17</t>
  </si>
  <si>
    <t>2026-09-16 11:00:33</t>
  </si>
  <si>
    <t>5372651968516</t>
  </si>
  <si>
    <t>2026-09-16 05:56:28</t>
  </si>
  <si>
    <t>F COG-MG</t>
  </si>
  <si>
    <t>5372659994628</t>
  </si>
  <si>
    <t>2026-09-16 05:58:09</t>
  </si>
  <si>
    <t>2026-09-16 11:05:49</t>
  </si>
  <si>
    <t>5372668823812</t>
  </si>
  <si>
    <t>2026-09-16 05:58:10</t>
  </si>
  <si>
    <t>5372665989892</t>
  </si>
  <si>
    <t>2026-09-16 06:02:15</t>
  </si>
  <si>
    <t>5370970767108</t>
  </si>
  <si>
    <t>2026-09-16 06:10:23</t>
  </si>
  <si>
    <t>5372394482180</t>
  </si>
  <si>
    <t>2026-09-16 06:15:22</t>
  </si>
  <si>
    <t>5371677325316</t>
  </si>
  <si>
    <t>2026-09-16 06:16:46</t>
  </si>
  <si>
    <t>2026-09-16 11:37:56</t>
  </si>
  <si>
    <t>5371890359300</t>
  </si>
  <si>
    <t>2026-09-16 06:20:20</t>
  </si>
  <si>
    <t>5371689127172</t>
  </si>
  <si>
    <t>2026-09-16 06:21:40</t>
  </si>
  <si>
    <t>5372755336964</t>
  </si>
  <si>
    <t>2026-09-16 06:27:06</t>
  </si>
  <si>
    <t>5371701007620</t>
  </si>
  <si>
    <t>2026-09-16 06:28:09</t>
  </si>
  <si>
    <t>2026-09-16 09:51:10</t>
  </si>
  <si>
    <t>5373296746756</t>
  </si>
  <si>
    <t>2026-09-16 06:30:08</t>
  </si>
  <si>
    <t>5372388846340</t>
  </si>
  <si>
    <t>2026-09-16 06:32:24</t>
  </si>
  <si>
    <t>5371806619908</t>
  </si>
  <si>
    <t>2026-09-16 06:35:16</t>
  </si>
  <si>
    <t>ITA -MG</t>
  </si>
  <si>
    <t>5373489266948</t>
  </si>
  <si>
    <t>2026-09-16 06:47:46</t>
  </si>
  <si>
    <t>5372693474052</t>
  </si>
  <si>
    <t>2026-09-16 06:48:52</t>
  </si>
  <si>
    <t>5371631598596</t>
  </si>
  <si>
    <t>2026-09-16 06:53:32</t>
  </si>
  <si>
    <t>5372356680964</t>
  </si>
  <si>
    <t>2026-09-16 06:56:22</t>
  </si>
  <si>
    <t>2026-09-16 11:44:13</t>
  </si>
  <si>
    <t>5373118310916</t>
  </si>
  <si>
    <t>2026-09-16 06:56:47</t>
  </si>
  <si>
    <t>AET -MG</t>
  </si>
  <si>
    <t>5373510717444</t>
  </si>
  <si>
    <t>2026-09-16 06:57:50</t>
  </si>
  <si>
    <t>5373507283972</t>
  </si>
  <si>
    <t>2026-09-16 07:01:48</t>
  </si>
  <si>
    <t>5372432515588</t>
  </si>
  <si>
    <t>2026-09-16 07:01:58</t>
  </si>
  <si>
    <t>5372873590788</t>
  </si>
  <si>
    <t>2026-09-16 07:03:21</t>
  </si>
  <si>
    <t>5371432999172</t>
  </si>
  <si>
    <t>2026-09-16 07:04:02</t>
  </si>
  <si>
    <t>5372073549316</t>
  </si>
  <si>
    <t>2026-09-16 07:05:06</t>
  </si>
  <si>
    <t>5373308908292</t>
  </si>
  <si>
    <t>2026-09-16 07:07:22</t>
  </si>
  <si>
    <t>2026-09-16 11:18:14</t>
  </si>
  <si>
    <t>5372694202884</t>
  </si>
  <si>
    <t>2026-09-16 07:08:25</t>
  </si>
  <si>
    <t>5372367666948</t>
  </si>
  <si>
    <t>2026-09-16 07:09:54</t>
  </si>
  <si>
    <t>2026-09-16 10:04:28</t>
  </si>
  <si>
    <t>5372889855236</t>
  </si>
  <si>
    <t>2026-09-16 07:10:47</t>
  </si>
  <si>
    <t>5372714765060</t>
  </si>
  <si>
    <t>2026-09-16 07:12:29</t>
  </si>
  <si>
    <t>5373139573764</t>
  </si>
  <si>
    <t>2026-09-16 07:13:31</t>
  </si>
  <si>
    <t>5373139696132</t>
  </si>
  <si>
    <t>2026-09-16 07:15:41</t>
  </si>
  <si>
    <t>2026-09-16 11:27:28</t>
  </si>
  <si>
    <t>5372063162116</t>
  </si>
  <si>
    <t>2026-09-16 07:18:41</t>
  </si>
  <si>
    <t>5372357446404</t>
  </si>
  <si>
    <t>2026-09-16 07:22:55</t>
  </si>
  <si>
    <t>5373320752900</t>
  </si>
  <si>
    <t>2026-09-16 07:28:19</t>
  </si>
  <si>
    <t>2026-09-16 09:03:55</t>
  </si>
  <si>
    <t>5372806920452</t>
  </si>
  <si>
    <t>2026-09-16 07:30:21</t>
  </si>
  <si>
    <t>5372715927812</t>
  </si>
  <si>
    <t>2026-09-16 07:31:39</t>
  </si>
  <si>
    <t>5372800980740</t>
  </si>
  <si>
    <t>2026-09-16 07:33:28</t>
  </si>
  <si>
    <t>F BHZ 13-MG</t>
  </si>
  <si>
    <t>2026-09-16 09:06:52</t>
  </si>
  <si>
    <t>5373321005828</t>
  </si>
  <si>
    <t>2026-09-16 07:34:58</t>
  </si>
  <si>
    <t>5374050898948</t>
  </si>
  <si>
    <t>2026-09-16 07:35:02</t>
  </si>
  <si>
    <t>2026-09-16 11:03:44</t>
  </si>
  <si>
    <t>5372718789892</t>
  </si>
  <si>
    <t>2026-09-16 07:35:12</t>
  </si>
  <si>
    <t>5372905415940</t>
  </si>
  <si>
    <t>2026-09-16 07:35:15</t>
  </si>
  <si>
    <t>5374312621828</t>
  </si>
  <si>
    <t>2026-09-16 07:37:34</t>
  </si>
  <si>
    <t>5372801159684</t>
  </si>
  <si>
    <t>2026-09-16 07:38:48</t>
  </si>
  <si>
    <t>5372356554756</t>
  </si>
  <si>
    <t>2026-09-16 07:39:56</t>
  </si>
  <si>
    <t>5374312747780</t>
  </si>
  <si>
    <t>2026-09-16 07:41:17</t>
  </si>
  <si>
    <t>5372807389700</t>
  </si>
  <si>
    <t>2026-09-16 07:46:48</t>
  </si>
  <si>
    <t>5372720236036</t>
  </si>
  <si>
    <t>2026-09-16 07:49:57</t>
  </si>
  <si>
    <t>5373865871876</t>
  </si>
  <si>
    <t>2026-09-16 07:52:11</t>
  </si>
  <si>
    <t>5374328946692</t>
  </si>
  <si>
    <t>2026-09-16 07:52:15</t>
  </si>
  <si>
    <t>5374330454532</t>
  </si>
  <si>
    <t>2026-09-16 07:54:31</t>
  </si>
  <si>
    <t>5374052070660</t>
  </si>
  <si>
    <t>2026-09-16 07:56:25</t>
  </si>
  <si>
    <t>PSS -MG</t>
  </si>
  <si>
    <t>2026-09-16 09:38:31</t>
  </si>
  <si>
    <t>5374329127428</t>
  </si>
  <si>
    <t>2026-09-16 07:58:32</t>
  </si>
  <si>
    <t>5374046924292</t>
  </si>
  <si>
    <t>2026-09-16 07:58:53</t>
  </si>
  <si>
    <t>5374052205060</t>
  </si>
  <si>
    <t>2026-09-16 07:59:00</t>
  </si>
  <si>
    <t>5372901666052</t>
  </si>
  <si>
    <t>2026-09-16 07:59:23</t>
  </si>
  <si>
    <t>5373341867780</t>
  </si>
  <si>
    <t>2026-09-16 08:00:02</t>
  </si>
  <si>
    <t>5374153825540</t>
  </si>
  <si>
    <t>2026-09-16 08:02:06</t>
  </si>
  <si>
    <t>5372901751556</t>
  </si>
  <si>
    <t>2026-09-16 08:02:39</t>
  </si>
  <si>
    <t>5373342904068</t>
  </si>
  <si>
    <t>2026-09-16 08:03:54</t>
  </si>
  <si>
    <t>5372804767748</t>
  </si>
  <si>
    <t>2026-09-16 08:04:01</t>
  </si>
  <si>
    <t>5373699087364</t>
  </si>
  <si>
    <t>2026-09-16 08:08:41</t>
  </si>
  <si>
    <t>5373630027268</t>
  </si>
  <si>
    <t>2026-09-16 08:09:26</t>
  </si>
  <si>
    <t>5372808036356</t>
  </si>
  <si>
    <t>2026-09-16 08:10:02</t>
  </si>
  <si>
    <t>5373888641796</t>
  </si>
  <si>
    <t>2026-09-16 08:10:33</t>
  </si>
  <si>
    <t>F CRT-MG</t>
  </si>
  <si>
    <t>2026-09-16 10:19:22</t>
  </si>
  <si>
    <t>5373616858372</t>
  </si>
  <si>
    <t>2026-09-16 08:14:06</t>
  </si>
  <si>
    <t>2026-09-16 10:53:32</t>
  </si>
  <si>
    <t>5374042936068</t>
  </si>
  <si>
    <t>2026-09-16 08:14:55</t>
  </si>
  <si>
    <t>5374042954500</t>
  </si>
  <si>
    <t>2026-09-16 08:15:36</t>
  </si>
  <si>
    <t>5373630199812</t>
  </si>
  <si>
    <t>2026-09-16 08:15:42</t>
  </si>
  <si>
    <t>5374236596484</t>
  </si>
  <si>
    <t>2026-09-16 08:16:21</t>
  </si>
  <si>
    <t>5374329614340</t>
  </si>
  <si>
    <t>2026-09-16 08:16:29</t>
  </si>
  <si>
    <t>5373897630468</t>
  </si>
  <si>
    <t>2026-09-16 08:16:56</t>
  </si>
  <si>
    <t>5373358153988</t>
  </si>
  <si>
    <t>2026-09-16 08:17:01</t>
  </si>
  <si>
    <t>5372357182980</t>
  </si>
  <si>
    <t>2026-09-16 07:13:28</t>
  </si>
  <si>
    <t>F CPS-MG</t>
  </si>
  <si>
    <t>5374043102980</t>
  </si>
  <si>
    <t>2026-09-16 08:17:33</t>
  </si>
  <si>
    <t>5373693780484</t>
  </si>
  <si>
    <t>2026-09-16 08:19:27</t>
  </si>
  <si>
    <t>5373589998852</t>
  </si>
  <si>
    <t>2026-09-16 08:19:44</t>
  </si>
  <si>
    <t>5373693892100</t>
  </si>
  <si>
    <t>2026-09-16 08:22:36</t>
  </si>
  <si>
    <t>5373453732100</t>
  </si>
  <si>
    <t>2026-09-16 08:23:18</t>
  </si>
  <si>
    <t>2026-09-16 08:56:20</t>
  </si>
  <si>
    <t>5373898145284</t>
  </si>
  <si>
    <t>2026-09-16 08:28:42</t>
  </si>
  <si>
    <t>5373358722820</t>
  </si>
  <si>
    <t>2026-09-16 08:29:02</t>
  </si>
  <si>
    <t>5373626556676</t>
  </si>
  <si>
    <t>2026-09-16 08:29:05</t>
  </si>
  <si>
    <t>2026-09-16 09:55:41</t>
  </si>
  <si>
    <t>5374069172484</t>
  </si>
  <si>
    <t>2026-09-16 08:29:24</t>
  </si>
  <si>
    <t>F JDF-MG</t>
  </si>
  <si>
    <t>5373635078148</t>
  </si>
  <si>
    <t>2026-09-16 08:29:32</t>
  </si>
  <si>
    <t>5373169963012</t>
  </si>
  <si>
    <t>2026-09-16 08:30:04</t>
  </si>
  <si>
    <t>5373344170244</t>
  </si>
  <si>
    <t>2026-09-16 08:37:22</t>
  </si>
  <si>
    <t>5373352576260</t>
  </si>
  <si>
    <t>2026-09-16 08:41:22</t>
  </si>
  <si>
    <t>5373654862596</t>
  </si>
  <si>
    <t>2026-09-16 08:42:31</t>
  </si>
  <si>
    <t>2026-09-16 09:17:59</t>
  </si>
  <si>
    <t>5374281604868</t>
  </si>
  <si>
    <t>2026-09-16 08:43:27</t>
  </si>
  <si>
    <t>5373178626820</t>
  </si>
  <si>
    <t>2026-09-16 08:45:15</t>
  </si>
  <si>
    <t>2026-09-16 09:59:36</t>
  </si>
  <si>
    <t>5374784494340</t>
  </si>
  <si>
    <t>2026-09-16 08:46:07</t>
  </si>
  <si>
    <t>5373707956740</t>
  </si>
  <si>
    <t>2026-09-16 08:48:22</t>
  </si>
  <si>
    <t>5374622611460</t>
  </si>
  <si>
    <t>2026-09-16 08:51:21</t>
  </si>
  <si>
    <t>5374706837252</t>
  </si>
  <si>
    <t>2026-09-16 08:51:24</t>
  </si>
  <si>
    <t>5373933120516</t>
  </si>
  <si>
    <t>2026-09-16 08:54:26</t>
  </si>
  <si>
    <t>2026-09-16 10:57:29</t>
  </si>
  <si>
    <t>5374072145924</t>
  </si>
  <si>
    <t>2026-09-16 08:57:01</t>
  </si>
  <si>
    <t>BHZ 04-MG</t>
  </si>
  <si>
    <t>5373635967492</t>
  </si>
  <si>
    <t>2026-09-16 08:57:50</t>
  </si>
  <si>
    <t>5373722758404</t>
  </si>
  <si>
    <t>2026-09-16 08:58:05</t>
  </si>
  <si>
    <t>5374975568388</t>
  </si>
  <si>
    <t>2026-09-16 08:58:21</t>
  </si>
  <si>
    <t>5373938770948</t>
  </si>
  <si>
    <t>2026-09-16 09:00:41</t>
  </si>
  <si>
    <t>5374082903300</t>
  </si>
  <si>
    <t>2026-09-16 09:03:03</t>
  </si>
  <si>
    <t>5373646362884</t>
  </si>
  <si>
    <t>2026-09-16 09:03:34</t>
  </si>
  <si>
    <t>5373196804356</t>
  </si>
  <si>
    <t>2026-09-16 09:05:57</t>
  </si>
  <si>
    <t>5373179594756</t>
  </si>
  <si>
    <t>2026-09-16 09:10:13</t>
  </si>
  <si>
    <t>5374378491652</t>
  </si>
  <si>
    <t>2026-09-16 09:10:18</t>
  </si>
  <si>
    <t>5373179631620</t>
  </si>
  <si>
    <t>2026-09-16 09:11:15</t>
  </si>
  <si>
    <t>5374381894404</t>
  </si>
  <si>
    <t>2026-09-16 09:13:39</t>
  </si>
  <si>
    <t>5374282394116</t>
  </si>
  <si>
    <t>2026-09-16 09:14:13</t>
  </si>
  <si>
    <t>5373935012356</t>
  </si>
  <si>
    <t>2026-09-16 09:15:02</t>
  </si>
  <si>
    <t>RDN -MG</t>
  </si>
  <si>
    <t>2026-09-16 11:32:14</t>
  </si>
  <si>
    <t>5373939203844</t>
  </si>
  <si>
    <t>2026-09-16 09:15:18</t>
  </si>
  <si>
    <t>5373187230468</t>
  </si>
  <si>
    <t>2026-09-16 09:16:47</t>
  </si>
  <si>
    <t>2026-09-16 10:34:07</t>
  </si>
  <si>
    <t>5374381972228</t>
  </si>
  <si>
    <t>2026-09-16 09:16:58</t>
  </si>
  <si>
    <t>5374804881156</t>
  </si>
  <si>
    <t>2026-09-16 09:18:23</t>
  </si>
  <si>
    <t>5374804896516</t>
  </si>
  <si>
    <t>2026-09-16 09:19:17</t>
  </si>
  <si>
    <t>5374804900100</t>
  </si>
  <si>
    <t>2026-09-16 09:19:24</t>
  </si>
  <si>
    <t>5373934009092</t>
  </si>
  <si>
    <t>2026-09-16 09:21:48</t>
  </si>
  <si>
    <t>F IMA-MG</t>
  </si>
  <si>
    <t>5374804977156</t>
  </si>
  <si>
    <t>2026-09-16 09:22:12</t>
  </si>
  <si>
    <t>5373649536260</t>
  </si>
  <si>
    <t>2026-09-16 09:23:55</t>
  </si>
  <si>
    <t>5373935257604</t>
  </si>
  <si>
    <t>2026-09-16 09:24:34</t>
  </si>
  <si>
    <t>5374079958532</t>
  </si>
  <si>
    <t>2026-09-16 09:28:56</t>
  </si>
  <si>
    <t>5374969274372</t>
  </si>
  <si>
    <t>2026-09-16 09:30:17</t>
  </si>
  <si>
    <t>5373197900804</t>
  </si>
  <si>
    <t>2026-09-16 09:31:28</t>
  </si>
  <si>
    <t>5373380224772</t>
  </si>
  <si>
    <t>2026-09-16 09:36:48</t>
  </si>
  <si>
    <t>5373756081668</t>
  </si>
  <si>
    <t>2026-09-16 09:37:10</t>
  </si>
  <si>
    <t>5374902144004</t>
  </si>
  <si>
    <t>2026-09-16 09:37:34</t>
  </si>
  <si>
    <t>5374386475524</t>
  </si>
  <si>
    <t>2026-09-16 09:37:37</t>
  </si>
  <si>
    <t>5374829923844</t>
  </si>
  <si>
    <t>2026-09-16 09:38:58</t>
  </si>
  <si>
    <t>5374636857604</t>
  </si>
  <si>
    <t>2026-09-16 09:41:22</t>
  </si>
  <si>
    <t>5374724165380</t>
  </si>
  <si>
    <t>2026-09-16 09:43:42</t>
  </si>
  <si>
    <t>5374100695556</t>
  </si>
  <si>
    <t>2026-09-16 10:45:34</t>
  </si>
  <si>
    <t>5374981046532</t>
  </si>
  <si>
    <t>2026-09-16 09:43:56</t>
  </si>
  <si>
    <t>5375616116228</t>
  </si>
  <si>
    <t>2026-09-16 09:44:40</t>
  </si>
  <si>
    <t>5374830055684</t>
  </si>
  <si>
    <t>2026-09-16 09:44:46</t>
  </si>
  <si>
    <t>5374976733188</t>
  </si>
  <si>
    <t>2026-09-16 09:45:14</t>
  </si>
  <si>
    <t>5374651570436</t>
  </si>
  <si>
    <t>2026-09-16 09:45:55</t>
  </si>
  <si>
    <t>5374902390532</t>
  </si>
  <si>
    <t>2026-09-16 09:46:28</t>
  </si>
  <si>
    <t>5373380492036</t>
  </si>
  <si>
    <t>2026-09-16 09:47:12</t>
  </si>
  <si>
    <t>5374651639300</t>
  </si>
  <si>
    <t>2026-09-16 09:48:31</t>
  </si>
  <si>
    <t>5374837474308</t>
  </si>
  <si>
    <t>2026-09-16 09:48:44</t>
  </si>
  <si>
    <t>5374199288068</t>
  </si>
  <si>
    <t>2026-09-16 09:50:30</t>
  </si>
  <si>
    <t>5374203451396</t>
  </si>
  <si>
    <t>2026-09-16 09:51:00</t>
  </si>
  <si>
    <t>5375602939140</t>
  </si>
  <si>
    <t>2026-09-16 09:52:26</t>
  </si>
  <si>
    <t>5374724444164</t>
  </si>
  <si>
    <t>2026-09-16 09:52:34</t>
  </si>
  <si>
    <t>2026-09-16 11:38:26</t>
  </si>
  <si>
    <t>5375611618820</t>
  </si>
  <si>
    <t>2026-09-16 09:54:00</t>
  </si>
  <si>
    <t>5374875565572</t>
  </si>
  <si>
    <t>2026-09-16 09:55:48</t>
  </si>
  <si>
    <t>5374837661700</t>
  </si>
  <si>
    <t>2026-09-16 09:55:50</t>
  </si>
  <si>
    <t>5374712654596</t>
  </si>
  <si>
    <t>2026-09-16 09:55:52</t>
  </si>
  <si>
    <t>5374712658948</t>
  </si>
  <si>
    <t>2026-09-16 09:56:02</t>
  </si>
  <si>
    <t>5374712666116</t>
  </si>
  <si>
    <t>2026-09-16 09:56:15</t>
  </si>
  <si>
    <t>F LPL-MG</t>
  </si>
  <si>
    <t>5375421573892</t>
  </si>
  <si>
    <t>2026-09-16 09:56:36</t>
  </si>
  <si>
    <t>5374724786948</t>
  </si>
  <si>
    <t>2026-09-16 10:00:08</t>
  </si>
  <si>
    <t>5374905377284</t>
  </si>
  <si>
    <t>2026-09-16 10:03:35</t>
  </si>
  <si>
    <t>5375603355652</t>
  </si>
  <si>
    <t>2026-09-16 10:04:38</t>
  </si>
  <si>
    <t>5374825793540</t>
  </si>
  <si>
    <t>2026-09-16 10:04:51</t>
  </si>
  <si>
    <t>5375617016068</t>
  </si>
  <si>
    <t>2026-09-16 10:05:40</t>
  </si>
  <si>
    <t>5375612119812</t>
  </si>
  <si>
    <t>2026-09-16 10:06:55</t>
  </si>
  <si>
    <t>5374914055684</t>
  </si>
  <si>
    <t>2026-09-16 10:07:58</t>
  </si>
  <si>
    <t>5376064803844</t>
  </si>
  <si>
    <t>2026-09-16 10:08:54</t>
  </si>
  <si>
    <t>5374725089028</t>
  </si>
  <si>
    <t>2026-09-16 10:09:20</t>
  </si>
  <si>
    <t>5375345036292</t>
  </si>
  <si>
    <t>2026-09-16 10:10:30</t>
  </si>
  <si>
    <t>5375073671172</t>
  </si>
  <si>
    <t>2026-09-16 10:11:52</t>
  </si>
  <si>
    <t>5375888348676</t>
  </si>
  <si>
    <t>2026-09-16 10:12:17</t>
  </si>
  <si>
    <t>5374838258948</t>
  </si>
  <si>
    <t>2026-09-16 10:15:25</t>
  </si>
  <si>
    <t>5375603660804</t>
  </si>
  <si>
    <t>2026-09-16 10:15:37</t>
  </si>
  <si>
    <t>5375373924356</t>
  </si>
  <si>
    <t>2026-09-16 10:15:56</t>
  </si>
  <si>
    <t>5375073771780</t>
  </si>
  <si>
    <t>2026-09-16 10:15:58</t>
  </si>
  <si>
    <t>5376065088260</t>
  </si>
  <si>
    <t>2026-09-16 10:16:12</t>
  </si>
  <si>
    <t>5375811470340</t>
  </si>
  <si>
    <t>2026-09-16 10:16:24</t>
  </si>
  <si>
    <t>5374114018820</t>
  </si>
  <si>
    <t>2026-09-16 10:17:35</t>
  </si>
  <si>
    <t>5375811508996</t>
  </si>
  <si>
    <t>2026-09-16 10:17:41</t>
  </si>
  <si>
    <t>5374114073092</t>
  </si>
  <si>
    <t>2026-09-16 10:19:15</t>
  </si>
  <si>
    <t>5374114095620</t>
  </si>
  <si>
    <t>2026-09-16 10:19:59</t>
  </si>
  <si>
    <t>5374862127364</t>
  </si>
  <si>
    <t>2026-09-16 10:22:59</t>
  </si>
  <si>
    <t>5375522643716</t>
  </si>
  <si>
    <t>2026-09-16 10:23:18</t>
  </si>
  <si>
    <t>5376065388292</t>
  </si>
  <si>
    <t>2026-09-16 10:23:35</t>
  </si>
  <si>
    <t>5374741188612</t>
  </si>
  <si>
    <t>2026-09-16 10:23:42</t>
  </si>
  <si>
    <t>5375345409028</t>
  </si>
  <si>
    <t>2026-09-16 10:24:26</t>
  </si>
  <si>
    <t>5375612659972</t>
  </si>
  <si>
    <t>2026-09-16 10:24:36</t>
  </si>
  <si>
    <t>5374735115524</t>
  </si>
  <si>
    <t>2026-09-16 10:25:24</t>
  </si>
  <si>
    <t>5374838544644</t>
  </si>
  <si>
    <t>2026-09-16 10:25:56</t>
  </si>
  <si>
    <t>5375447285764</t>
  </si>
  <si>
    <t>2026-09-16 10:26:14</t>
  </si>
  <si>
    <t>F CTJ-MG</t>
  </si>
  <si>
    <t>5375078220036</t>
  </si>
  <si>
    <t>2026-09-16 10:26:41</t>
  </si>
  <si>
    <t>5374123464196</t>
  </si>
  <si>
    <t>2026-09-16 10:29:41</t>
  </si>
  <si>
    <t>5376076824580</t>
  </si>
  <si>
    <t>2026-09-16 10:31:51</t>
  </si>
  <si>
    <t>5375112192004</t>
  </si>
  <si>
    <t>2026-09-16 10:32:46</t>
  </si>
  <si>
    <t>5374115938308</t>
  </si>
  <si>
    <t>2026-09-16 10:35:40</t>
  </si>
  <si>
    <t>5374123830532</t>
  </si>
  <si>
    <t>2026-09-16 10:37:43</t>
  </si>
  <si>
    <t>5375017672196</t>
  </si>
  <si>
    <t>2026-09-16 10:38:26</t>
  </si>
  <si>
    <t>5375915590148</t>
  </si>
  <si>
    <t>2026-09-16 10:38:49</t>
  </si>
  <si>
    <t>5375017750276</t>
  </si>
  <si>
    <t>2026-09-16 10:40:53</t>
  </si>
  <si>
    <t>5374757665028</t>
  </si>
  <si>
    <t>2026-09-16 10:45:11</t>
  </si>
  <si>
    <t>5374115077892</t>
  </si>
  <si>
    <t>2026-09-16 10:45:42</t>
  </si>
  <si>
    <t>F SCM-MG</t>
  </si>
  <si>
    <t>5374931246852</t>
  </si>
  <si>
    <t>2026-09-16 10:48:11</t>
  </si>
  <si>
    <t>5374757880580</t>
  </si>
  <si>
    <t>2026-09-16 10:50:29</t>
  </si>
  <si>
    <t>5375812562948</t>
  </si>
  <si>
    <t>2026-09-16 10:52:57</t>
  </si>
  <si>
    <t>5374115320068</t>
  </si>
  <si>
    <t>2026-09-16 10:53:14</t>
  </si>
  <si>
    <t>5374758026756</t>
  </si>
  <si>
    <t>2026-09-16 10:53:47</t>
  </si>
  <si>
    <t>5375812600836</t>
  </si>
  <si>
    <t>2026-09-16 10:54:10</t>
  </si>
  <si>
    <t>5374116540420</t>
  </si>
  <si>
    <t>5375930936580</t>
  </si>
  <si>
    <t>2026-09-16 10:56:39</t>
  </si>
  <si>
    <t>5375803326212</t>
  </si>
  <si>
    <t>2026-09-16 10:58:21</t>
  </si>
  <si>
    <t>5376436474628</t>
  </si>
  <si>
    <t>2026-09-16 10:58:22</t>
  </si>
  <si>
    <t>5374758230532</t>
  </si>
  <si>
    <t>2026-09-16 10:59:08</t>
  </si>
  <si>
    <t>5374116674564</t>
  </si>
  <si>
    <t>5375018285316</t>
  </si>
  <si>
    <t>2026-09-16 11:00:28</t>
  </si>
  <si>
    <t>5374758341380</t>
  </si>
  <si>
    <t>2026-09-16 11:02:19</t>
  </si>
  <si>
    <t>5374931589892</t>
  </si>
  <si>
    <t>2026-09-16 11:04:15</t>
  </si>
  <si>
    <t>5376344820228</t>
  </si>
  <si>
    <t>2026-09-16 11:05:02</t>
  </si>
  <si>
    <t>5375931222020</t>
  </si>
  <si>
    <t>2026-09-16 11:06:51</t>
  </si>
  <si>
    <t>F SSP-MG</t>
  </si>
  <si>
    <t>5376353434372</t>
  </si>
  <si>
    <t>2026-09-16 11:08:04</t>
  </si>
  <si>
    <t>5374758567428</t>
  </si>
  <si>
    <t>2026-09-16 11:08:14</t>
  </si>
  <si>
    <t>F BCA-MG</t>
  </si>
  <si>
    <t>5374770197508</t>
  </si>
  <si>
    <t>2026-09-16 11:08:56</t>
  </si>
  <si>
    <t>5376078027268</t>
  </si>
  <si>
    <t>2026-09-16 11:10:31</t>
  </si>
  <si>
    <t>5376353486596</t>
  </si>
  <si>
    <t>2026-09-16 11:10:49</t>
  </si>
  <si>
    <t>5374758664708</t>
  </si>
  <si>
    <t>2026-09-16 11:10:51</t>
  </si>
  <si>
    <t>5375628197636</t>
  </si>
  <si>
    <t>2026-09-16 11:13:41</t>
  </si>
  <si>
    <t>5375640854020</t>
  </si>
  <si>
    <t>2026-09-16 11:16:01</t>
  </si>
  <si>
    <t>5374770469636</t>
  </si>
  <si>
    <t>2026-09-16 11:16:43</t>
  </si>
  <si>
    <t>5375107333892</t>
  </si>
  <si>
    <t>2026-09-16 11:17:25</t>
  </si>
  <si>
    <t>5375639352068</t>
  </si>
  <si>
    <t>2026-09-16 11:18:40</t>
  </si>
  <si>
    <t>5375639391236</t>
  </si>
  <si>
    <t>2026-09-16 11:20:20</t>
  </si>
  <si>
    <t>5374770634756</t>
  </si>
  <si>
    <t>2026-09-16 11:21:11</t>
  </si>
  <si>
    <t>5376623629828</t>
  </si>
  <si>
    <t>2026-09-16 11:21:54</t>
  </si>
  <si>
    <t>5375923682052</t>
  </si>
  <si>
    <t>2026-09-16 11:24:16</t>
  </si>
  <si>
    <t>5376338805764</t>
  </si>
  <si>
    <t>2026-09-16 11:24:42</t>
  </si>
  <si>
    <t>5375107498756</t>
  </si>
  <si>
    <t>2026-09-16 11:24:58</t>
  </si>
  <si>
    <t>5376437223684</t>
  </si>
  <si>
    <t>2026-09-16 11:27:29</t>
  </si>
  <si>
    <t>5375634137092</t>
  </si>
  <si>
    <t>2026-09-16 11:27:52</t>
  </si>
  <si>
    <t>5375122780164</t>
  </si>
  <si>
    <t>2026-09-16 11:27:59</t>
  </si>
  <si>
    <t>5375634181380</t>
  </si>
  <si>
    <t>2026-09-16 11:29:20</t>
  </si>
  <si>
    <t>5375122824708</t>
  </si>
  <si>
    <t>2026-09-16 11:29:52</t>
  </si>
  <si>
    <t>5374771030276</t>
  </si>
  <si>
    <t>2026-09-16 11:32:15</t>
  </si>
  <si>
    <t>5375641304580</t>
  </si>
  <si>
    <t>2026-09-16 11:32:20</t>
  </si>
  <si>
    <t>5376617859332</t>
  </si>
  <si>
    <t>2026-09-16 11:32:53</t>
  </si>
  <si>
    <t>5376091361284</t>
  </si>
  <si>
    <t>2026-09-16 11:37:20</t>
  </si>
  <si>
    <t>F GXP-MG</t>
  </si>
  <si>
    <t>5376624055300</t>
  </si>
  <si>
    <t>2026-09-16 11:37:39</t>
  </si>
  <si>
    <t>5375641492996</t>
  </si>
  <si>
    <t>2026-09-16 11:38:17</t>
  </si>
  <si>
    <t>5376992269828</t>
  </si>
  <si>
    <t>2026-09-16 11:38:56</t>
  </si>
  <si>
    <t>5375113547012</t>
  </si>
  <si>
    <t>2026-09-16 11:39:19</t>
  </si>
  <si>
    <t>5374932327172</t>
  </si>
  <si>
    <t>2026-09-16 11:39:41</t>
  </si>
  <si>
    <t>5375113590788</t>
  </si>
  <si>
    <t>2026-09-16 11:41:09</t>
  </si>
  <si>
    <t>5376346691332</t>
  </si>
  <si>
    <t>2026-09-16 11:41:31</t>
  </si>
  <si>
    <t>5375540649732</t>
  </si>
  <si>
    <t>2026-09-16 11:42:41</t>
  </si>
  <si>
    <t>5376633003012</t>
  </si>
  <si>
    <t>2026-09-16 11:43:19</t>
  </si>
  <si>
    <t>5376992439812</t>
  </si>
  <si>
    <t>2026-09-16 11:46:30</t>
  </si>
  <si>
    <t>5375478687236</t>
  </si>
  <si>
    <t>2026-09-16 11:47:29</t>
  </si>
  <si>
    <t>5375946836484</t>
  </si>
  <si>
    <t>2026-09-16 11:47:52</t>
  </si>
  <si>
    <t>5375946853892</t>
  </si>
  <si>
    <t>2026-09-16 11:48:37</t>
  </si>
  <si>
    <t>5376993876484</t>
  </si>
  <si>
    <t>2026-09-16 11:49:44</t>
  </si>
  <si>
    <t>Eduardo Carvalho Vieira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</si>
</sst>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4" tint="0.79995117038483843"/>
        <bgColor theme="4" tint="0.7999511703848384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10" fontId="4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7" borderId="6" xfId="0" applyFont="1" applyFill="1" applyBorder="1" applyAlignment="1">
      <alignment vertical="center"/>
    </xf>
    <xf numFmtId="0" fontId="11" fillId="7" borderId="7" xfId="0" applyFont="1" applyFill="1" applyBorder="1" applyAlignment="1">
      <alignment vertical="center"/>
    </xf>
    <xf numFmtId="0" fontId="11" fillId="7" borderId="8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1" fontId="11" fillId="0" borderId="7" xfId="0" applyNumberFormat="1" applyFont="1" applyBorder="1" applyAlignment="1">
      <alignment vertical="center"/>
    </xf>
    <xf numFmtId="1" fontId="11" fillId="7" borderId="7" xfId="0" applyNumberFormat="1" applyFont="1" applyFill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0" fontId="4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10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6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10" fillId="6" borderId="12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979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eedmg-my.sharepoint.com/personal/patriccruz_mg_speedmg_onmicrosoft_com/Documents/&#193;rea%20de%20Trabalho/Atendimento%20+%20RM%20-%20Setembro.xlsx" TargetMode="External"/><Relationship Id="rId1" Type="http://schemas.openxmlformats.org/officeDocument/2006/relationships/externalLinkPath" Target="Atendimento%20+%20RM%20-%20Setemb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n!"/>
      <sheetName val="Planilha1"/>
      <sheetName val="Planilha2"/>
      <sheetName val="BASE DE DADOS"/>
    </sheetNames>
    <sheetDataSet>
      <sheetData sheetId="0"/>
      <sheetData sheetId="1"/>
      <sheetData sheetId="2"/>
      <sheetData sheetId="3">
        <row r="1">
          <cell r="A1" t="str">
            <v>Atendimento</v>
          </cell>
          <cell r="B1" t="str">
            <v>Filial</v>
          </cell>
          <cell r="C1" t="str">
            <v>RM</v>
          </cell>
        </row>
        <row r="2">
          <cell r="A2" t="str">
            <v>ABC-MG</v>
          </cell>
          <cell r="B2" t="str">
            <v>MG</v>
          </cell>
          <cell r="C2" t="str">
            <v>Eduardo Carvalho Vieira dos Santos</v>
          </cell>
        </row>
        <row r="3">
          <cell r="A3" t="str">
            <v>AET -MG</v>
          </cell>
          <cell r="B3" t="str">
            <v>MG</v>
          </cell>
          <cell r="C3" t="str">
            <v>Eduardo Carvalho Vieira dos Santos</v>
          </cell>
        </row>
        <row r="4">
          <cell r="A4" t="str">
            <v>AFS -MG</v>
          </cell>
          <cell r="B4" t="str">
            <v>MG</v>
          </cell>
          <cell r="C4" t="str">
            <v>Cleber Silvestre Almeida e Silva</v>
          </cell>
        </row>
        <row r="5">
          <cell r="A5" t="str">
            <v>AGF -MG</v>
          </cell>
          <cell r="B5" t="str">
            <v>MG</v>
          </cell>
          <cell r="C5" t="str">
            <v>Hiago Vinicius Alves Dos Santos Silva</v>
          </cell>
        </row>
        <row r="6">
          <cell r="A6" t="str">
            <v>AMN -MG</v>
          </cell>
          <cell r="B6" t="str">
            <v>MG</v>
          </cell>
          <cell r="C6" t="str">
            <v>Hiago Vinicius Alves Dos Santos Silva</v>
          </cell>
        </row>
        <row r="7">
          <cell r="A7" t="str">
            <v>AUI -MG</v>
          </cell>
          <cell r="B7" t="str">
            <v>MG</v>
          </cell>
          <cell r="C7" t="str">
            <v>Hiago Vinicius Alves Dos Santos Silva</v>
          </cell>
        </row>
        <row r="8">
          <cell r="A8" t="str">
            <v>BCA -MG</v>
          </cell>
          <cell r="B8" t="str">
            <v>MG</v>
          </cell>
          <cell r="C8" t="str">
            <v>Eduardo Carvalho Vieira dos Santos</v>
          </cell>
        </row>
        <row r="9">
          <cell r="A9" t="str">
            <v>BDA-MG</v>
          </cell>
          <cell r="B9" t="str">
            <v>MG</v>
          </cell>
          <cell r="C9" t="str">
            <v>Eduardo Carvalho Vieira dos Santos</v>
          </cell>
        </row>
        <row r="10">
          <cell r="A10" t="str">
            <v>BDC-MG</v>
          </cell>
          <cell r="B10" t="str">
            <v>MG</v>
          </cell>
          <cell r="C10" t="str">
            <v xml:space="preserve">Alex Junior Rodrigues dos santos </v>
          </cell>
        </row>
        <row r="11">
          <cell r="A11" t="str">
            <v>BHM-MG</v>
          </cell>
          <cell r="B11" t="str">
            <v>MG</v>
          </cell>
          <cell r="C11" t="str">
            <v xml:space="preserve">Alex Junior Rodrigues dos santos </v>
          </cell>
        </row>
        <row r="12">
          <cell r="A12" t="str">
            <v>BHZ 03-MG</v>
          </cell>
          <cell r="B12" t="str">
            <v>MG</v>
          </cell>
          <cell r="C12" t="str">
            <v xml:space="preserve">Alex Junior Rodrigues dos santos </v>
          </cell>
        </row>
        <row r="13">
          <cell r="A13" t="str">
            <v>BHZ 04-MG</v>
          </cell>
          <cell r="B13" t="str">
            <v>MG</v>
          </cell>
          <cell r="C13" t="str">
            <v>Cleber Silvestre Almeida e Silva</v>
          </cell>
        </row>
        <row r="14">
          <cell r="A14" t="str">
            <v>BHZ 05-MG</v>
          </cell>
          <cell r="B14" t="str">
            <v>MG</v>
          </cell>
          <cell r="C14" t="str">
            <v xml:space="preserve">Alex Junior Rodrigues dos santos </v>
          </cell>
        </row>
        <row r="15">
          <cell r="A15" t="str">
            <v>BHZ 06-MG</v>
          </cell>
          <cell r="B15" t="str">
            <v>MG</v>
          </cell>
          <cell r="C15" t="str">
            <v xml:space="preserve">Alex Junior Rodrigues dos santos </v>
          </cell>
        </row>
        <row r="16">
          <cell r="A16" t="str">
            <v>BMN -MG</v>
          </cell>
          <cell r="B16" t="str">
            <v>MG</v>
          </cell>
          <cell r="C16" t="str">
            <v>Hiago Vinicius Alves Dos Santos Silva</v>
          </cell>
        </row>
        <row r="17">
          <cell r="A17" t="str">
            <v>BTM 02-MG</v>
          </cell>
          <cell r="B17" t="str">
            <v>MG</v>
          </cell>
          <cell r="C17" t="str">
            <v xml:space="preserve">Alex Junior Rodrigues dos santos </v>
          </cell>
        </row>
        <row r="18">
          <cell r="A18" t="str">
            <v>BTM -MG</v>
          </cell>
          <cell r="B18" t="str">
            <v>MG</v>
          </cell>
          <cell r="C18" t="str">
            <v>Eduardo Carvalho Vieira dos Santos</v>
          </cell>
        </row>
        <row r="19">
          <cell r="A19" t="str">
            <v>CAZ-MG</v>
          </cell>
          <cell r="B19" t="str">
            <v>MG</v>
          </cell>
          <cell r="C19" t="str">
            <v>Eduardo Carvalho Vieira dos Santos</v>
          </cell>
        </row>
        <row r="20">
          <cell r="A20" t="str">
            <v>CGE -MG</v>
          </cell>
          <cell r="B20" t="str">
            <v>MG</v>
          </cell>
          <cell r="C20" t="str">
            <v>Eduardo Carvalho Vieira dos Santos</v>
          </cell>
        </row>
        <row r="21">
          <cell r="A21" t="str">
            <v>CPA -MG</v>
          </cell>
          <cell r="B21" t="str">
            <v>MG</v>
          </cell>
          <cell r="C21" t="str">
            <v>Hiago Vinicius Alves Dos Santos Silva</v>
          </cell>
        </row>
        <row r="22">
          <cell r="A22" t="str">
            <v>CRL -MG</v>
          </cell>
          <cell r="B22" t="str">
            <v>MG</v>
          </cell>
          <cell r="C22" t="str">
            <v>Cleber Silvestre Almeida e Silva</v>
          </cell>
        </row>
        <row r="23">
          <cell r="A23" t="str">
            <v>CSP -MG</v>
          </cell>
          <cell r="B23" t="str">
            <v>MG</v>
          </cell>
          <cell r="C23" t="str">
            <v>Cleber Silvestre Almeida e Silva</v>
          </cell>
        </row>
        <row r="24">
          <cell r="A24" t="str">
            <v>CTG -MG</v>
          </cell>
          <cell r="B24" t="str">
            <v>MG</v>
          </cell>
          <cell r="C24" t="str">
            <v>Cleber Silvestre Almeida e Silva</v>
          </cell>
        </row>
        <row r="25">
          <cell r="A25" t="str">
            <v>CUV -MG</v>
          </cell>
          <cell r="B25" t="str">
            <v>MG</v>
          </cell>
          <cell r="C25" t="str">
            <v>Hiago Vinicius Alves Dos Santos Silva</v>
          </cell>
        </row>
        <row r="26">
          <cell r="A26" t="str">
            <v>DIQ 02-MG</v>
          </cell>
          <cell r="B26" t="str">
            <v>MG</v>
          </cell>
          <cell r="C26" t="str">
            <v>Eduardo Carvalho Vieira dos Santos</v>
          </cell>
        </row>
        <row r="27">
          <cell r="A27" t="str">
            <v>DIQ -MG</v>
          </cell>
          <cell r="B27" t="str">
            <v>MG</v>
          </cell>
          <cell r="C27" t="str">
            <v>Eduardo Carvalho Vieira dos Santos</v>
          </cell>
        </row>
        <row r="28">
          <cell r="A28" t="str">
            <v>DMA -MG</v>
          </cell>
          <cell r="B28" t="str">
            <v>MG</v>
          </cell>
          <cell r="C28" t="str">
            <v>Hiago Vinicius Alves Dos Santos Silva</v>
          </cell>
        </row>
        <row r="29">
          <cell r="A29" t="str">
            <v>ELD-MG</v>
          </cell>
          <cell r="B29" t="str">
            <v>MG</v>
          </cell>
          <cell r="C29" t="str">
            <v xml:space="preserve">Alex Junior Rodrigues dos santos </v>
          </cell>
        </row>
        <row r="30">
          <cell r="A30" t="str">
            <v>EMD-MG</v>
          </cell>
          <cell r="B30" t="str">
            <v>MG</v>
          </cell>
          <cell r="C30" t="str">
            <v>Cleber Silvestre Almeida e Silva</v>
          </cell>
        </row>
        <row r="31">
          <cell r="A31" t="str">
            <v>EXT -MG</v>
          </cell>
          <cell r="B31" t="str">
            <v>MG</v>
          </cell>
          <cell r="C31" t="str">
            <v xml:space="preserve">Alex Junior Rodrigues dos santos </v>
          </cell>
        </row>
        <row r="32">
          <cell r="A32" t="str">
            <v>F AAD-MG</v>
          </cell>
          <cell r="B32" t="str">
            <v>MG</v>
          </cell>
          <cell r="C32" t="str">
            <v>Cleber Silvestre Almeida e Silva</v>
          </cell>
        </row>
        <row r="33">
          <cell r="A33" t="str">
            <v>F AAX-MG</v>
          </cell>
          <cell r="B33" t="str">
            <v>MG</v>
          </cell>
          <cell r="C33" t="str">
            <v>Eduardo Carvalho Vieira dos Santos</v>
          </cell>
        </row>
        <row r="34">
          <cell r="A34" t="str">
            <v>F ADD-MG</v>
          </cell>
          <cell r="B34" t="str">
            <v>MG</v>
          </cell>
          <cell r="C34" t="str">
            <v xml:space="preserve">Alex Junior Rodrigues dos santos </v>
          </cell>
        </row>
        <row r="35">
          <cell r="A35" t="str">
            <v>F ALP 02-MG</v>
          </cell>
          <cell r="B35" t="str">
            <v>MG</v>
          </cell>
          <cell r="C35" t="str">
            <v xml:space="preserve">Alex Junior Rodrigues dos santos </v>
          </cell>
        </row>
        <row r="36">
          <cell r="A36" t="str">
            <v>F ARC-MG</v>
          </cell>
          <cell r="B36" t="str">
            <v>MG</v>
          </cell>
          <cell r="C36" t="str">
            <v>Eduardo Carvalho Vieira dos Santos</v>
          </cell>
        </row>
        <row r="37">
          <cell r="A37" t="str">
            <v>F ARR-MG</v>
          </cell>
          <cell r="B37" t="str">
            <v>MG</v>
          </cell>
          <cell r="C37" t="str">
            <v xml:space="preserve">Alex Junior Rodrigues dos santos </v>
          </cell>
        </row>
        <row r="38">
          <cell r="A38" t="str">
            <v>F BCA-MG</v>
          </cell>
          <cell r="B38" t="str">
            <v>MG</v>
          </cell>
          <cell r="C38" t="str">
            <v>Eduardo Carvalho Vieira dos Santos</v>
          </cell>
        </row>
        <row r="39">
          <cell r="A39" t="str">
            <v>F BCV-MG</v>
          </cell>
          <cell r="B39" t="str">
            <v>MG</v>
          </cell>
          <cell r="C39" t="str">
            <v>Hiago Vinicius Alves Dos Santos Silva</v>
          </cell>
        </row>
        <row r="40">
          <cell r="A40" t="str">
            <v>F BDP-MG</v>
          </cell>
          <cell r="B40" t="str">
            <v>MG</v>
          </cell>
          <cell r="C40" t="str">
            <v>Eduardo Carvalho Vieira dos Santos</v>
          </cell>
        </row>
        <row r="41">
          <cell r="A41" t="str">
            <v>F BHZ 08-MG</v>
          </cell>
          <cell r="B41" t="str">
            <v>MG</v>
          </cell>
          <cell r="C41" t="str">
            <v>Cleber Silvestre Almeida e Silva</v>
          </cell>
        </row>
        <row r="42">
          <cell r="A42" t="str">
            <v>LGS-MG</v>
          </cell>
          <cell r="B42" t="str">
            <v>MG</v>
          </cell>
          <cell r="C42" t="str">
            <v>Cleber Silvestre Almeida e Silva</v>
          </cell>
        </row>
        <row r="43">
          <cell r="A43" t="str">
            <v>F BHZ 10-MG</v>
          </cell>
          <cell r="B43" t="str">
            <v>MG</v>
          </cell>
          <cell r="C43" t="str">
            <v>Eduardo Carvalho Vieira dos Santos</v>
          </cell>
        </row>
        <row r="44">
          <cell r="A44" t="str">
            <v>RDN 02-MG</v>
          </cell>
          <cell r="B44" t="str">
            <v>MG</v>
          </cell>
          <cell r="C44" t="str">
            <v>Cleber Silvestre Almeida e Silva</v>
          </cell>
        </row>
        <row r="45">
          <cell r="A45" t="str">
            <v>F BHZ 13-MG</v>
          </cell>
          <cell r="B45" t="str">
            <v>MG</v>
          </cell>
          <cell r="C45" t="str">
            <v xml:space="preserve">Alex Junior Rodrigues dos santos </v>
          </cell>
        </row>
        <row r="46">
          <cell r="A46" t="str">
            <v>F BLO-MG</v>
          </cell>
          <cell r="B46" t="str">
            <v>MG</v>
          </cell>
          <cell r="C46" t="str">
            <v>Cleber Silvestre Almeida e Silva</v>
          </cell>
        </row>
        <row r="47">
          <cell r="A47" t="str">
            <v>F BTM-MG</v>
          </cell>
          <cell r="B47" t="str">
            <v>MG</v>
          </cell>
          <cell r="C47" t="str">
            <v xml:space="preserve">Alex Junior Rodrigues dos santos </v>
          </cell>
        </row>
        <row r="48">
          <cell r="A48" t="str">
            <v>F CET-MG</v>
          </cell>
          <cell r="B48" t="str">
            <v>MG</v>
          </cell>
          <cell r="C48" t="str">
            <v>Cleber Silvestre Almeida e Silva</v>
          </cell>
        </row>
        <row r="49">
          <cell r="A49" t="str">
            <v>F CGE-MG</v>
          </cell>
          <cell r="B49" t="str">
            <v>MG</v>
          </cell>
          <cell r="C49" t="str">
            <v>Eduardo Carvalho Vieira dos Santos</v>
          </cell>
        </row>
        <row r="50">
          <cell r="A50" t="str">
            <v>F CGS-MG</v>
          </cell>
          <cell r="B50" t="str">
            <v>MG</v>
          </cell>
          <cell r="C50" t="str">
            <v xml:space="preserve">Alex Junior Rodrigues dos santos </v>
          </cell>
        </row>
        <row r="51">
          <cell r="A51" t="str">
            <v>F CLD-MG</v>
          </cell>
          <cell r="B51" t="str">
            <v>MG</v>
          </cell>
          <cell r="C51" t="str">
            <v>Eduardo Carvalho Vieira dos Santos</v>
          </cell>
        </row>
        <row r="52">
          <cell r="A52" t="str">
            <v>F CLT-MG</v>
          </cell>
          <cell r="B52" t="str">
            <v>MG</v>
          </cell>
          <cell r="C52" t="str">
            <v>Eduardo Carvalho Vieira dos Santos</v>
          </cell>
        </row>
        <row r="53">
          <cell r="A53" t="str">
            <v>F CMB-MG</v>
          </cell>
          <cell r="B53" t="str">
            <v>MG</v>
          </cell>
          <cell r="C53" t="str">
            <v>Cleber Silvestre Almeida e Silva</v>
          </cell>
        </row>
        <row r="54">
          <cell r="A54" t="str">
            <v>F COG-MG</v>
          </cell>
          <cell r="B54" t="str">
            <v>MG</v>
          </cell>
          <cell r="C54" t="str">
            <v xml:space="preserve">Alex Junior Rodrigues dos santos </v>
          </cell>
        </row>
        <row r="55">
          <cell r="A55" t="str">
            <v>F CPA-MG</v>
          </cell>
          <cell r="B55" t="str">
            <v>MG</v>
          </cell>
          <cell r="C55" t="str">
            <v>Hiago Vinicius Alves Dos Santos Silva</v>
          </cell>
        </row>
        <row r="56">
          <cell r="A56" t="str">
            <v>F CPS-MG</v>
          </cell>
          <cell r="B56" t="str">
            <v>MG</v>
          </cell>
          <cell r="C56" t="str">
            <v xml:space="preserve">Alex Junior Rodrigues dos santos </v>
          </cell>
        </row>
        <row r="57">
          <cell r="A57" t="str">
            <v>F CRT-MG</v>
          </cell>
          <cell r="B57" t="str">
            <v>MG</v>
          </cell>
          <cell r="C57" t="str">
            <v>Hiago Vinicius Alves Dos Santos Silva</v>
          </cell>
        </row>
        <row r="58">
          <cell r="A58" t="str">
            <v>F CTJ-MG</v>
          </cell>
          <cell r="B58" t="str">
            <v>MG</v>
          </cell>
          <cell r="C58" t="str">
            <v>Hiago Vinicius Alves Dos Santos Silva</v>
          </cell>
        </row>
        <row r="59">
          <cell r="A59" t="str">
            <v>F DEL-MG</v>
          </cell>
          <cell r="B59" t="str">
            <v>MG</v>
          </cell>
          <cell r="C59" t="str">
            <v>Hiago Vinicius Alves Dos Santos Silva</v>
          </cell>
        </row>
        <row r="60">
          <cell r="A60" t="str">
            <v>F DIV-MG</v>
          </cell>
          <cell r="B60" t="str">
            <v>MG</v>
          </cell>
          <cell r="C60" t="str">
            <v>Eduardo Carvalho Vieira dos Santos</v>
          </cell>
        </row>
        <row r="61">
          <cell r="A61" t="str">
            <v>F EXT-MG</v>
          </cell>
          <cell r="B61" t="str">
            <v>MG</v>
          </cell>
          <cell r="C61" t="str">
            <v xml:space="preserve">Alex Junior Rodrigues dos santos </v>
          </cell>
        </row>
        <row r="62">
          <cell r="A62" t="str">
            <v>F FLX-MG</v>
          </cell>
          <cell r="B62" t="str">
            <v>MG</v>
          </cell>
          <cell r="C62" t="str">
            <v>Hiago Vinicius Alves Dos Santos Silva</v>
          </cell>
        </row>
        <row r="63">
          <cell r="A63" t="str">
            <v>F FMG-MG</v>
          </cell>
          <cell r="B63" t="str">
            <v>MG</v>
          </cell>
          <cell r="C63" t="str">
            <v>Eduardo Carvalho Vieira dos Santos</v>
          </cell>
        </row>
        <row r="64">
          <cell r="A64" t="str">
            <v>F GXP-MG</v>
          </cell>
          <cell r="B64" t="str">
            <v>MG</v>
          </cell>
          <cell r="C64" t="str">
            <v xml:space="preserve">Alex Junior Rodrigues dos santos </v>
          </cell>
        </row>
        <row r="65">
          <cell r="A65" t="str">
            <v>F IAJ-MG</v>
          </cell>
          <cell r="B65" t="str">
            <v>MG</v>
          </cell>
          <cell r="C65" t="str">
            <v>Eduardo Carvalho Vieira dos Santos</v>
          </cell>
        </row>
        <row r="66">
          <cell r="A66" t="str">
            <v>F IAN-MG</v>
          </cell>
          <cell r="B66" t="str">
            <v>MG</v>
          </cell>
          <cell r="C66" t="str">
            <v>Cleber Silvestre Almeida e Silva</v>
          </cell>
        </row>
        <row r="67">
          <cell r="A67" t="str">
            <v>F IMA-MG</v>
          </cell>
          <cell r="B67" t="str">
            <v>MG</v>
          </cell>
          <cell r="C67" t="str">
            <v>Cleber Silvestre Almeida e Silva</v>
          </cell>
        </row>
        <row r="68">
          <cell r="A68" t="str">
            <v>F IRO-MG</v>
          </cell>
          <cell r="B68" t="str">
            <v>MG</v>
          </cell>
          <cell r="C68" t="str">
            <v xml:space="preserve">Alex Junior Rodrigues dos santos </v>
          </cell>
        </row>
        <row r="69">
          <cell r="A69" t="str">
            <v>F IRT-MG</v>
          </cell>
          <cell r="B69" t="str">
            <v>MG</v>
          </cell>
          <cell r="C69" t="str">
            <v xml:space="preserve">Alex Junior Rodrigues dos santos </v>
          </cell>
        </row>
        <row r="70">
          <cell r="A70" t="str">
            <v>F IUB-MG</v>
          </cell>
          <cell r="B70" t="str">
            <v>MG</v>
          </cell>
          <cell r="C70" t="str">
            <v xml:space="preserve">Alex Junior Rodrigues dos santos </v>
          </cell>
        </row>
        <row r="71">
          <cell r="A71" t="str">
            <v>F JDF 02-MG</v>
          </cell>
          <cell r="B71" t="str">
            <v>MG</v>
          </cell>
          <cell r="C71" t="str">
            <v>Eduardo Carvalho Vieira dos Santos</v>
          </cell>
        </row>
        <row r="72">
          <cell r="A72" t="str">
            <v>F JDF 03-MG</v>
          </cell>
          <cell r="B72" t="str">
            <v>MG</v>
          </cell>
          <cell r="C72" t="str">
            <v>Eduardo Carvalho Vieira dos Santos</v>
          </cell>
        </row>
        <row r="73">
          <cell r="A73" t="str">
            <v>F JDF 04-MG</v>
          </cell>
          <cell r="B73" t="str">
            <v>MG</v>
          </cell>
          <cell r="C73" t="str">
            <v>Eduardo Carvalho Vieira dos Santos</v>
          </cell>
        </row>
        <row r="74">
          <cell r="A74" t="str">
            <v>F JDF-MG</v>
          </cell>
          <cell r="B74" t="str">
            <v>MG</v>
          </cell>
          <cell r="C74" t="str">
            <v xml:space="preserve">Alex Junior Rodrigues dos santos </v>
          </cell>
        </row>
        <row r="75">
          <cell r="A75" t="str">
            <v>F JIB-MG</v>
          </cell>
          <cell r="B75" t="str">
            <v>MG</v>
          </cell>
          <cell r="C75" t="str">
            <v>Hiago Vinicius Alves Dos Santos Silva</v>
          </cell>
        </row>
        <row r="76">
          <cell r="A76" t="str">
            <v>F JPN-MG</v>
          </cell>
          <cell r="B76" t="str">
            <v>MG</v>
          </cell>
          <cell r="C76" t="str">
            <v>Hiago Vinicius Alves Dos Santos Silva</v>
          </cell>
        </row>
        <row r="77">
          <cell r="A77" t="str">
            <v>F LGP-MG</v>
          </cell>
          <cell r="B77" t="str">
            <v>MG</v>
          </cell>
          <cell r="C77" t="str">
            <v>Eduardo Carvalho Vieira dos Santos</v>
          </cell>
        </row>
        <row r="78">
          <cell r="A78" t="str">
            <v>F LMB-MG</v>
          </cell>
          <cell r="B78" t="str">
            <v>MG</v>
          </cell>
          <cell r="C78" t="str">
            <v>Cleber Silvestre Almeida e Silva</v>
          </cell>
        </row>
        <row r="79">
          <cell r="A79" t="str">
            <v>F LPL-MG</v>
          </cell>
          <cell r="B79" t="str">
            <v>MG</v>
          </cell>
          <cell r="C79" t="str">
            <v xml:space="preserve">Alex Junior Rodrigues dos santos </v>
          </cell>
        </row>
        <row r="80">
          <cell r="A80" t="str">
            <v>F MCM-MG</v>
          </cell>
          <cell r="B80" t="str">
            <v>MG</v>
          </cell>
          <cell r="C80" t="str">
            <v>Hiago Vinicius Alves Dos Santos Silva</v>
          </cell>
        </row>
        <row r="81">
          <cell r="A81" t="str">
            <v>F MDE-MG</v>
          </cell>
          <cell r="B81" t="str">
            <v>MG</v>
          </cell>
          <cell r="C81" t="str">
            <v xml:space="preserve">Alex Junior Rodrigues dos santos </v>
          </cell>
        </row>
        <row r="82">
          <cell r="A82" t="str">
            <v>F MNT-MG</v>
          </cell>
          <cell r="B82" t="str">
            <v>MG</v>
          </cell>
          <cell r="C82" t="str">
            <v>Cleber Silvestre Almeida e Silva</v>
          </cell>
        </row>
        <row r="83">
          <cell r="A83" t="str">
            <v>F MPB-MG</v>
          </cell>
          <cell r="B83" t="str">
            <v>MG</v>
          </cell>
          <cell r="C83" t="str">
            <v>Cleber Silvestre Almeida e Silva</v>
          </cell>
        </row>
        <row r="84">
          <cell r="A84" t="str">
            <v>F MRC-MG</v>
          </cell>
          <cell r="B84" t="str">
            <v>MG</v>
          </cell>
          <cell r="C84" t="str">
            <v>Eduardo Carvalho Vieira dos Santos</v>
          </cell>
        </row>
        <row r="85">
          <cell r="A85" t="str">
            <v>F MTA-MG</v>
          </cell>
          <cell r="B85" t="str">
            <v>MG</v>
          </cell>
          <cell r="C85" t="str">
            <v>Cleber Silvestre Almeida e Silva</v>
          </cell>
        </row>
        <row r="86">
          <cell r="A86" t="str">
            <v>F MTL-MG</v>
          </cell>
          <cell r="B86" t="str">
            <v>MG</v>
          </cell>
          <cell r="C86" t="str">
            <v xml:space="preserve">Alex Junior Rodrigues dos santos </v>
          </cell>
        </row>
        <row r="87">
          <cell r="A87" t="str">
            <v>F NNQ-MG</v>
          </cell>
          <cell r="B87" t="str">
            <v>MG</v>
          </cell>
          <cell r="C87" t="str">
            <v>Hiago Vinicius Alves Dos Santos Silva</v>
          </cell>
        </row>
        <row r="88">
          <cell r="A88" t="str">
            <v>F NSR-MG</v>
          </cell>
          <cell r="B88" t="str">
            <v>MG</v>
          </cell>
          <cell r="C88" t="str">
            <v>Eduardo Carvalho Vieira dos Santos</v>
          </cell>
        </row>
        <row r="89">
          <cell r="A89" t="str">
            <v>F OPT-MG</v>
          </cell>
          <cell r="B89" t="str">
            <v>MG</v>
          </cell>
          <cell r="C89" t="str">
            <v xml:space="preserve">Alex Junior Rodrigues dos santos </v>
          </cell>
        </row>
        <row r="90">
          <cell r="A90" t="str">
            <v>F ORB-MG</v>
          </cell>
          <cell r="B90" t="str">
            <v>MG</v>
          </cell>
          <cell r="C90" t="str">
            <v xml:space="preserve">Alex Junior Rodrigues dos santos </v>
          </cell>
        </row>
        <row r="91">
          <cell r="A91" t="str">
            <v>F PDS-MG</v>
          </cell>
          <cell r="B91" t="str">
            <v>MG</v>
          </cell>
          <cell r="C91" t="str">
            <v>Cleber Silvestre Almeida e Silva</v>
          </cell>
        </row>
        <row r="92">
          <cell r="A92" t="str">
            <v>F PMN-MG</v>
          </cell>
          <cell r="B92" t="str">
            <v>MG</v>
          </cell>
          <cell r="C92" t="str">
            <v>Cleber Silvestre Almeida e Silva</v>
          </cell>
        </row>
        <row r="93">
          <cell r="A93" t="str">
            <v>F PPY 02-MG</v>
          </cell>
          <cell r="B93" t="str">
            <v>MG</v>
          </cell>
          <cell r="C93" t="str">
            <v xml:space="preserve">Alex Junior Rodrigues dos santos </v>
          </cell>
        </row>
        <row r="94">
          <cell r="A94" t="str">
            <v>F PSS-MG</v>
          </cell>
          <cell r="B94" t="str">
            <v>MG</v>
          </cell>
          <cell r="C94" t="str">
            <v xml:space="preserve">Alex Junior Rodrigues dos santos </v>
          </cell>
        </row>
        <row r="95">
          <cell r="A95" t="str">
            <v>F SAB-MG</v>
          </cell>
          <cell r="B95" t="str">
            <v>MG</v>
          </cell>
          <cell r="C95" t="str">
            <v>Cleber Silvestre Almeida e Silva</v>
          </cell>
        </row>
        <row r="96">
          <cell r="A96" t="str">
            <v>F SCM-MG</v>
          </cell>
          <cell r="B96" t="str">
            <v>MG</v>
          </cell>
          <cell r="C96" t="str">
            <v>Cleber Silvestre Almeida e Silva</v>
          </cell>
        </row>
        <row r="97">
          <cell r="A97" t="str">
            <v>F SGT-MG</v>
          </cell>
          <cell r="B97" t="str">
            <v>MG</v>
          </cell>
          <cell r="C97" t="str">
            <v>Hiago Vinicius Alves Dos Santos Silva</v>
          </cell>
        </row>
        <row r="98">
          <cell r="A98" t="str">
            <v>F SJN-MG</v>
          </cell>
          <cell r="B98" t="str">
            <v>MG</v>
          </cell>
          <cell r="C98" t="str">
            <v xml:space="preserve">Alex Junior Rodrigues dos santos </v>
          </cell>
        </row>
        <row r="99">
          <cell r="A99" t="str">
            <v>F SSP-MG</v>
          </cell>
          <cell r="B99" t="str">
            <v>MG</v>
          </cell>
          <cell r="C99" t="str">
            <v xml:space="preserve">Alex Junior Rodrigues dos santos </v>
          </cell>
        </row>
        <row r="100">
          <cell r="A100" t="str">
            <v>F STD-MG</v>
          </cell>
          <cell r="B100" t="str">
            <v>MG</v>
          </cell>
          <cell r="C100" t="str">
            <v xml:space="preserve">Alex Junior Rodrigues dos santos </v>
          </cell>
        </row>
        <row r="101">
          <cell r="A101" t="str">
            <v>F STL-MG</v>
          </cell>
          <cell r="B101" t="str">
            <v>MG</v>
          </cell>
          <cell r="C101" t="str">
            <v>Cleber Silvestre Almeida e Silva</v>
          </cell>
        </row>
        <row r="102">
          <cell r="A102" t="str">
            <v>F STS-MG</v>
          </cell>
          <cell r="B102" t="str">
            <v>MG</v>
          </cell>
          <cell r="C102" t="str">
            <v>Eduardo Carvalho Vieira dos Santos</v>
          </cell>
        </row>
        <row r="103">
          <cell r="A103" t="str">
            <v>F TMN 02-MG</v>
          </cell>
          <cell r="B103" t="str">
            <v>MG</v>
          </cell>
          <cell r="C103" t="str">
            <v>Hiago Vinicius Alves Dos Santos Silva</v>
          </cell>
        </row>
        <row r="104">
          <cell r="A104" t="str">
            <v>F TPT-MG</v>
          </cell>
          <cell r="B104" t="str">
            <v>MG</v>
          </cell>
          <cell r="C104" t="str">
            <v>Cleber Silvestre Almeida e Silva</v>
          </cell>
        </row>
        <row r="105">
          <cell r="A105" t="str">
            <v>F TRC-MG</v>
          </cell>
          <cell r="B105" t="str">
            <v>MG</v>
          </cell>
          <cell r="C105" t="str">
            <v>Cleber Silvestre Almeida e Silva</v>
          </cell>
        </row>
        <row r="106">
          <cell r="A106" t="str">
            <v>F TTO-MG</v>
          </cell>
          <cell r="B106" t="str">
            <v>MG</v>
          </cell>
          <cell r="C106" t="str">
            <v>Cleber Silvestre Almeida e Silva</v>
          </cell>
        </row>
        <row r="107">
          <cell r="A107" t="str">
            <v>F UBE-MG</v>
          </cell>
          <cell r="B107" t="str">
            <v>MG</v>
          </cell>
          <cell r="C107" t="str">
            <v>Eduardo Carvalho Vieira dos Santos</v>
          </cell>
        </row>
        <row r="108">
          <cell r="A108" t="str">
            <v>F UDI 02-MG</v>
          </cell>
          <cell r="B108" t="str">
            <v>MG</v>
          </cell>
          <cell r="C108" t="str">
            <v xml:space="preserve">Alex Junior Rodrigues dos santos </v>
          </cell>
        </row>
        <row r="109">
          <cell r="A109" t="str">
            <v>F UNI-MG</v>
          </cell>
          <cell r="B109" t="str">
            <v>MG</v>
          </cell>
          <cell r="C109" t="str">
            <v>Hiago Vinicius Alves Dos Santos Silva</v>
          </cell>
        </row>
        <row r="110">
          <cell r="A110" t="str">
            <v>F VSR-MG</v>
          </cell>
          <cell r="B110" t="str">
            <v>MG</v>
          </cell>
          <cell r="C110" t="str">
            <v>Eduardo Carvalho Vieira dos Santos</v>
          </cell>
        </row>
        <row r="111">
          <cell r="A111" t="str">
            <v>FAB-MG</v>
          </cell>
          <cell r="B111" t="str">
            <v>MG</v>
          </cell>
          <cell r="C111" t="str">
            <v>Cleber Silvestre Almeida e Silva</v>
          </cell>
        </row>
        <row r="112">
          <cell r="A112" t="str">
            <v>FRT -MG</v>
          </cell>
          <cell r="B112" t="str">
            <v>MG</v>
          </cell>
          <cell r="C112" t="str">
            <v>Eduardo Carvalho Vieira dos Santos</v>
          </cell>
        </row>
        <row r="113">
          <cell r="A113" t="str">
            <v>RDN -MG</v>
          </cell>
          <cell r="B113" t="str">
            <v>MG</v>
          </cell>
          <cell r="C113" t="str">
            <v>Cleber Silvestre Almeida e Silva</v>
          </cell>
        </row>
        <row r="114">
          <cell r="A114" t="str">
            <v>GHE -MG</v>
          </cell>
          <cell r="B114" t="str">
            <v>MG</v>
          </cell>
          <cell r="C114" t="str">
            <v>Cleber Silvestre Almeida e Silva</v>
          </cell>
        </row>
        <row r="115">
          <cell r="A115" t="str">
            <v>GLO-MG</v>
          </cell>
          <cell r="B115" t="str">
            <v>MG</v>
          </cell>
          <cell r="C115" t="str">
            <v>Eduardo Carvalho Vieira dos Santos</v>
          </cell>
        </row>
        <row r="116">
          <cell r="A116" t="str">
            <v>GRN-MG</v>
          </cell>
          <cell r="B116" t="str">
            <v>MG</v>
          </cell>
          <cell r="C116" t="str">
            <v>Cleber Silvestre Almeida e Silva</v>
          </cell>
        </row>
        <row r="117">
          <cell r="A117" t="str">
            <v>GVR -MG</v>
          </cell>
          <cell r="B117" t="str">
            <v>MG</v>
          </cell>
          <cell r="C117" t="str">
            <v>Cleber Silvestre Almeida e Silva</v>
          </cell>
        </row>
        <row r="118">
          <cell r="A118" t="str">
            <v>IBR -MG</v>
          </cell>
          <cell r="B118" t="str">
            <v>MG</v>
          </cell>
          <cell r="C118" t="str">
            <v>Eduardo Carvalho Vieira dos Santos</v>
          </cell>
        </row>
        <row r="119">
          <cell r="A119" t="str">
            <v>IGP-MG</v>
          </cell>
          <cell r="B119" t="str">
            <v>MG</v>
          </cell>
          <cell r="C119" t="str">
            <v xml:space="preserve">Alex Junior Rodrigues dos santos </v>
          </cell>
        </row>
        <row r="120">
          <cell r="A120" t="str">
            <v>IPN 02-MG</v>
          </cell>
          <cell r="B120" t="str">
            <v>MG</v>
          </cell>
          <cell r="C120" t="str">
            <v>Cleber Silvestre Almeida e Silva</v>
          </cell>
        </row>
        <row r="121">
          <cell r="A121" t="str">
            <v>IPN -MG</v>
          </cell>
          <cell r="B121" t="str">
            <v>MG</v>
          </cell>
          <cell r="C121" t="str">
            <v>Cleber Silvestre Almeida e Silva</v>
          </cell>
        </row>
        <row r="122">
          <cell r="A122" t="str">
            <v>IRM -MG</v>
          </cell>
          <cell r="B122" t="str">
            <v>MG</v>
          </cell>
          <cell r="C122" t="str">
            <v>Eduardo Carvalho Vieira dos Santos</v>
          </cell>
        </row>
        <row r="123">
          <cell r="A123" t="str">
            <v>ITA -MG</v>
          </cell>
          <cell r="B123" t="str">
            <v>MG</v>
          </cell>
          <cell r="C123" t="str">
            <v>Hiago Vinicius Alves Dos Santos Silva</v>
          </cell>
        </row>
        <row r="124">
          <cell r="A124" t="str">
            <v>ITU -MG</v>
          </cell>
          <cell r="B124" t="str">
            <v>MG</v>
          </cell>
          <cell r="C124" t="str">
            <v xml:space="preserve">Alex Junior Rodrigues dos santos </v>
          </cell>
        </row>
        <row r="125">
          <cell r="A125" t="str">
            <v>JDF 06-MG</v>
          </cell>
          <cell r="B125" t="str">
            <v>MG</v>
          </cell>
          <cell r="C125" t="str">
            <v xml:space="preserve">Alex Junior Rodrigues dos santos </v>
          </cell>
        </row>
        <row r="126">
          <cell r="A126" t="str">
            <v>JDF-MG</v>
          </cell>
          <cell r="B126" t="str">
            <v>MG</v>
          </cell>
          <cell r="C126" t="str">
            <v xml:space="preserve">Alex Junior Rodrigues dos santos </v>
          </cell>
        </row>
        <row r="127">
          <cell r="A127" t="str">
            <v>JDI-MG</v>
          </cell>
          <cell r="B127" t="str">
            <v>MG</v>
          </cell>
          <cell r="C127" t="str">
            <v xml:space="preserve">Alex Junior Rodrigues dos santos </v>
          </cell>
        </row>
        <row r="128">
          <cell r="A128" t="str">
            <v>JMV -MG</v>
          </cell>
          <cell r="B128" t="str">
            <v>MG</v>
          </cell>
          <cell r="C128" t="str">
            <v>Eduardo Carvalho Vieira dos Santos</v>
          </cell>
        </row>
        <row r="129">
          <cell r="A129" t="str">
            <v>JNA -MG</v>
          </cell>
          <cell r="B129" t="str">
            <v>MG</v>
          </cell>
          <cell r="C129" t="str">
            <v>Hiago Vinicius Alves Dos Santos Silva</v>
          </cell>
        </row>
        <row r="130">
          <cell r="A130" t="str">
            <v>JTB -MG</v>
          </cell>
          <cell r="B130" t="str">
            <v>MG</v>
          </cell>
          <cell r="C130" t="str">
            <v xml:space="preserve">Alex Junior Rodrigues dos santos </v>
          </cell>
        </row>
        <row r="131">
          <cell r="A131" t="str">
            <v>JUB -MG</v>
          </cell>
          <cell r="B131" t="str">
            <v>MG</v>
          </cell>
          <cell r="C131" t="str">
            <v>Hiago Vinicius Alves Dos Santos Silva</v>
          </cell>
        </row>
        <row r="132">
          <cell r="A132" t="str">
            <v>LAS -MG</v>
          </cell>
          <cell r="B132" t="str">
            <v>MG</v>
          </cell>
          <cell r="C132" t="str">
            <v>Cleber Silvestre Almeida e Silva</v>
          </cell>
        </row>
        <row r="133">
          <cell r="A133" t="str">
            <v>LGP -MG</v>
          </cell>
          <cell r="B133" t="str">
            <v>MG</v>
          </cell>
          <cell r="C133" t="str">
            <v>Eduardo Carvalho Vieira dos Santos</v>
          </cell>
        </row>
        <row r="134">
          <cell r="A134" t="str">
            <v>STZ -MG</v>
          </cell>
          <cell r="B134" t="str">
            <v>MG</v>
          </cell>
          <cell r="C134" t="str">
            <v>Cleber Silvestre Almeida e Silva</v>
          </cell>
        </row>
        <row r="135">
          <cell r="A135" t="str">
            <v>MNH -MG</v>
          </cell>
          <cell r="B135" t="str">
            <v>MG</v>
          </cell>
          <cell r="C135" t="str">
            <v>Cleber Silvestre Almeida e Silva</v>
          </cell>
        </row>
        <row r="136">
          <cell r="A136" t="str">
            <v>PTN -MG</v>
          </cell>
          <cell r="B136" t="str">
            <v>MG</v>
          </cell>
          <cell r="C136" t="str">
            <v xml:space="preserve">Alex Junior Rodrigues dos santos </v>
          </cell>
        </row>
        <row r="137">
          <cell r="A137" t="str">
            <v>MTC -MG</v>
          </cell>
          <cell r="B137" t="str">
            <v>MG</v>
          </cell>
          <cell r="C137" t="str">
            <v>Hiago Vinicius Alves Dos Santos Silva</v>
          </cell>
        </row>
        <row r="138">
          <cell r="A138" t="str">
            <v>NAC-MG</v>
          </cell>
          <cell r="B138" t="str">
            <v>MG</v>
          </cell>
          <cell r="C138" t="str">
            <v>Eduardo Carvalho Vieira dos Santos</v>
          </cell>
        </row>
        <row r="139">
          <cell r="A139" t="str">
            <v>NSR -MG</v>
          </cell>
          <cell r="B139" t="str">
            <v>MG</v>
          </cell>
          <cell r="C139" t="str">
            <v>Eduardo Carvalho Vieira dos Santos</v>
          </cell>
        </row>
        <row r="140">
          <cell r="A140" t="str">
            <v>NVL -MG</v>
          </cell>
          <cell r="B140" t="str">
            <v>MG</v>
          </cell>
          <cell r="C140" t="str">
            <v xml:space="preserve">Alex Junior Rodrigues dos santos </v>
          </cell>
        </row>
        <row r="141">
          <cell r="A141" t="str">
            <v>OLV -MG</v>
          </cell>
          <cell r="B141" t="str">
            <v>MG</v>
          </cell>
          <cell r="C141" t="str">
            <v>Cleber Silvestre Almeida e Silva</v>
          </cell>
        </row>
        <row r="142">
          <cell r="A142" t="str">
            <v>OPT -MG</v>
          </cell>
          <cell r="B142" t="str">
            <v>MG</v>
          </cell>
          <cell r="C142" t="str">
            <v xml:space="preserve">Alex Junior Rodrigues dos santos </v>
          </cell>
        </row>
        <row r="143">
          <cell r="A143" t="str">
            <v>ORP-MG</v>
          </cell>
          <cell r="B143" t="str">
            <v>MG</v>
          </cell>
          <cell r="C143" t="str">
            <v>Eduardo Carvalho Vieira dos Santos</v>
          </cell>
        </row>
        <row r="144">
          <cell r="A144" t="str">
            <v>VPS -MG</v>
          </cell>
          <cell r="B144" t="str">
            <v>MG</v>
          </cell>
          <cell r="C144" t="str">
            <v>Cleber Silvestre Almeida e Silva</v>
          </cell>
        </row>
        <row r="145">
          <cell r="A145" t="str">
            <v>POJ -MG</v>
          </cell>
          <cell r="B145" t="str">
            <v>MG</v>
          </cell>
          <cell r="C145" t="str">
            <v>Hiago Vinicius Alves Dos Santos Silva</v>
          </cell>
        </row>
        <row r="146">
          <cell r="A146" t="str">
            <v>POO -MG</v>
          </cell>
          <cell r="B146" t="str">
            <v>MG</v>
          </cell>
          <cell r="C146" t="str">
            <v xml:space="preserve">Alex Junior Rodrigues dos santos </v>
          </cell>
        </row>
        <row r="147">
          <cell r="A147" t="str">
            <v>PPR -MG</v>
          </cell>
          <cell r="B147" t="str">
            <v>MG</v>
          </cell>
          <cell r="C147" t="str">
            <v>Hiago Vinicius Alves Dos Santos Silva</v>
          </cell>
        </row>
        <row r="148">
          <cell r="A148" t="str">
            <v>PPY -MG</v>
          </cell>
          <cell r="B148" t="str">
            <v>MG</v>
          </cell>
          <cell r="C148" t="str">
            <v xml:space="preserve">Alex Junior Rodrigues dos santos </v>
          </cell>
        </row>
        <row r="149">
          <cell r="A149" t="str">
            <v>PSS -MG</v>
          </cell>
          <cell r="B149" t="str">
            <v>MG</v>
          </cell>
          <cell r="C149" t="str">
            <v xml:space="preserve">Alex Junior Rodrigues dos santos </v>
          </cell>
        </row>
        <row r="150">
          <cell r="A150" t="str">
            <v>PTC -MG</v>
          </cell>
          <cell r="B150" t="str">
            <v>MG</v>
          </cell>
          <cell r="C150" t="str">
            <v>Hiago Vinicius Alves Dos Santos Silva</v>
          </cell>
        </row>
        <row r="151">
          <cell r="A151" t="str">
            <v>MRE -MG</v>
          </cell>
          <cell r="B151" t="str">
            <v>MG</v>
          </cell>
          <cell r="C151" t="str">
            <v>Eduardo Carvalho Vieira dos Santos</v>
          </cell>
        </row>
        <row r="152">
          <cell r="A152" t="str">
            <v>PTU -MG</v>
          </cell>
          <cell r="B152" t="str">
            <v>MG</v>
          </cell>
          <cell r="C152" t="str">
            <v>Hiago Vinicius Alves Dos Santos Silva</v>
          </cell>
        </row>
        <row r="153">
          <cell r="A153" t="str">
            <v>QDF -MG</v>
          </cell>
          <cell r="B153" t="str">
            <v>MG</v>
          </cell>
          <cell r="C153" t="str">
            <v>Eduardo Carvalho Vieira dos Santos</v>
          </cell>
        </row>
        <row r="154">
          <cell r="A154" t="str">
            <v>F BHZ 09-MG</v>
          </cell>
          <cell r="B154" t="str">
            <v>MG</v>
          </cell>
          <cell r="C154" t="str">
            <v xml:space="preserve">Alex Junior Rodrigues dos santos </v>
          </cell>
        </row>
        <row r="155">
          <cell r="A155" t="str">
            <v>F BHZ 11-MG</v>
          </cell>
          <cell r="B155" t="str">
            <v>MG</v>
          </cell>
          <cell r="C155" t="str">
            <v xml:space="preserve">Alex Junior Rodrigues dos santos </v>
          </cell>
        </row>
        <row r="156">
          <cell r="A156" t="str">
            <v>SAB -MG</v>
          </cell>
          <cell r="B156" t="str">
            <v>MG</v>
          </cell>
          <cell r="C156" t="str">
            <v>Cleber Silvestre Almeida e Silva</v>
          </cell>
        </row>
        <row r="157">
          <cell r="A157" t="str">
            <v>SGF-MG</v>
          </cell>
          <cell r="B157" t="str">
            <v>MG</v>
          </cell>
          <cell r="C157" t="str">
            <v>Eduardo Carvalho Vieira dos Santos</v>
          </cell>
        </row>
        <row r="158">
          <cell r="A158" t="str">
            <v>SJD -MG</v>
          </cell>
          <cell r="B158" t="str">
            <v>MG</v>
          </cell>
          <cell r="C158" t="str">
            <v>Eduardo Carvalho Vieira dos Santos</v>
          </cell>
        </row>
        <row r="159">
          <cell r="A159" t="str">
            <v>SLN -MG</v>
          </cell>
          <cell r="B159" t="str">
            <v>MG</v>
          </cell>
          <cell r="C159" t="str">
            <v>Hiago Vinicius Alves Dos Santos Silva</v>
          </cell>
        </row>
        <row r="160">
          <cell r="A160" t="str">
            <v>SON-MG</v>
          </cell>
          <cell r="B160" t="str">
            <v>MG</v>
          </cell>
          <cell r="C160" t="str">
            <v>Eduardo Carvalho Vieira dos Santos</v>
          </cell>
        </row>
        <row r="161">
          <cell r="A161" t="str">
            <v>STL -MG</v>
          </cell>
          <cell r="B161" t="str">
            <v>MG</v>
          </cell>
          <cell r="C161" t="str">
            <v>Cleber Silvestre Almeida e Silva</v>
          </cell>
        </row>
        <row r="162">
          <cell r="A162" t="str">
            <v>FUN-MG</v>
          </cell>
          <cell r="B162" t="str">
            <v>MG</v>
          </cell>
          <cell r="C162" t="str">
            <v>Cleber Silvestre Almeida e Silva</v>
          </cell>
        </row>
        <row r="163">
          <cell r="A163" t="str">
            <v>SZD-MG</v>
          </cell>
          <cell r="B163" t="str">
            <v>MG</v>
          </cell>
          <cell r="C163" t="str">
            <v>Cleber Silvestre Almeida e Silva</v>
          </cell>
        </row>
        <row r="164">
          <cell r="A164" t="str">
            <v>TFL -MG</v>
          </cell>
          <cell r="B164" t="str">
            <v>MG</v>
          </cell>
          <cell r="C164" t="str">
            <v>Hiago Vinicius Alves Dos Santos Silva</v>
          </cell>
        </row>
        <row r="165">
          <cell r="A165" t="str">
            <v>VCS -MG</v>
          </cell>
          <cell r="B165" t="str">
            <v>MG</v>
          </cell>
          <cell r="C165" t="str">
            <v>Eduardo Carvalho Vieira dos Santos</v>
          </cell>
        </row>
        <row r="166">
          <cell r="A166" t="str">
            <v>UBA 02-MG</v>
          </cell>
          <cell r="B166" t="str">
            <v>MG</v>
          </cell>
          <cell r="C166" t="str">
            <v>Eduardo Carvalho Vieira dos Santos</v>
          </cell>
        </row>
        <row r="167">
          <cell r="A167" t="str">
            <v>UBA 03-MG</v>
          </cell>
          <cell r="B167" t="str">
            <v>MG</v>
          </cell>
          <cell r="C167" t="str">
            <v>Eduardo Carvalho Vieira dos Santos</v>
          </cell>
        </row>
        <row r="168">
          <cell r="A168" t="str">
            <v>UBA -MG</v>
          </cell>
          <cell r="B168" t="str">
            <v>MG</v>
          </cell>
          <cell r="C168" t="str">
            <v>Eduardo Carvalho Vieira dos Santos</v>
          </cell>
        </row>
        <row r="169">
          <cell r="A169" t="str">
            <v>UDI 02-MG</v>
          </cell>
          <cell r="B169" t="str">
            <v>MG</v>
          </cell>
          <cell r="C169" t="str">
            <v>Eduardo Carvalho Vieira dos Santos</v>
          </cell>
        </row>
        <row r="170">
          <cell r="A170" t="str">
            <v>UDI -MG</v>
          </cell>
          <cell r="B170" t="str">
            <v>MG</v>
          </cell>
          <cell r="C170" t="str">
            <v xml:space="preserve">Alex Junior Rodrigues dos santos </v>
          </cell>
        </row>
        <row r="171">
          <cell r="A171" t="str">
            <v>VAG -MG</v>
          </cell>
          <cell r="B171" t="str">
            <v>MG</v>
          </cell>
          <cell r="C171" t="str">
            <v>Cleber Silvestre Almeida e Silva</v>
          </cell>
        </row>
        <row r="172">
          <cell r="A172" t="str">
            <v>UAB -MG</v>
          </cell>
          <cell r="B172" t="str">
            <v>MG</v>
          </cell>
          <cell r="C172" t="str">
            <v>Eduardo Carvalho Vieira dos Santos</v>
          </cell>
        </row>
        <row r="173">
          <cell r="A173" t="str">
            <v>PDE-MG</v>
          </cell>
          <cell r="B173" t="str">
            <v>MG</v>
          </cell>
          <cell r="C173" t="str">
            <v>Cleber Silvestre Almeida e Silva</v>
          </cell>
        </row>
        <row r="174">
          <cell r="A174" t="str">
            <v>F STP-MG</v>
          </cell>
          <cell r="B174" t="str">
            <v>MG</v>
          </cell>
          <cell r="C174" t="str">
            <v>Cleber Silvestre Almeida e Silva</v>
          </cell>
        </row>
        <row r="175">
          <cell r="A175" t="str">
            <v>F IPV-MG</v>
          </cell>
          <cell r="B175" t="str">
            <v>MG</v>
          </cell>
          <cell r="C175" t="str">
            <v xml:space="preserve">Alex Junior Rodrigues dos santos </v>
          </cell>
        </row>
        <row r="176">
          <cell r="A176" t="str">
            <v>F EPN-MG</v>
          </cell>
          <cell r="B176" t="str">
            <v>MG</v>
          </cell>
          <cell r="C176" t="str">
            <v>Hiago Vinicius Alves Dos Santos Silva</v>
          </cell>
        </row>
        <row r="177">
          <cell r="A177" t="str">
            <v>F PTR-MG</v>
          </cell>
          <cell r="B177" t="str">
            <v>MG</v>
          </cell>
          <cell r="C177" t="str">
            <v>Hiago Vinicius Alves Dos Santos Silva</v>
          </cell>
        </row>
        <row r="178">
          <cell r="A178" t="str">
            <v>F BHZ 12-MG</v>
          </cell>
          <cell r="B178" t="str">
            <v>MG</v>
          </cell>
          <cell r="C178" t="str">
            <v>Cleber Silvestre Almeida e Silva</v>
          </cell>
        </row>
        <row r="179">
          <cell r="A179" t="str">
            <v>F BHZ 21-MG</v>
          </cell>
          <cell r="B179" t="str">
            <v>MG</v>
          </cell>
          <cell r="C179" t="str">
            <v>Eduardo Carvalho Vieira dos Santos</v>
          </cell>
        </row>
        <row r="180">
          <cell r="A180" t="str">
            <v>F MCD-MG</v>
          </cell>
          <cell r="B180" t="str">
            <v>MG</v>
          </cell>
          <cell r="C180" t="str">
            <v>Cleber Silvestre Almeida e Silva</v>
          </cell>
        </row>
        <row r="181">
          <cell r="A181" t="str">
            <v>F EFL-MG</v>
          </cell>
          <cell r="B181" t="str">
            <v>MG</v>
          </cell>
          <cell r="C181" t="str">
            <v>Cleber Silvestre Almeida e Silva</v>
          </cell>
        </row>
        <row r="182">
          <cell r="A182" t="str">
            <v>F IAP-MG</v>
          </cell>
          <cell r="B182" t="str">
            <v>MG</v>
          </cell>
          <cell r="C182" t="str">
            <v>Cleber Silvestre Almeida e Silva</v>
          </cell>
        </row>
        <row r="183">
          <cell r="A183" t="str">
            <v>F PCN-MG</v>
          </cell>
          <cell r="B183" t="str">
            <v>MG</v>
          </cell>
          <cell r="C183" t="str">
            <v>Hiago Vinicius Alves Dos Santos Silva</v>
          </cell>
        </row>
        <row r="184">
          <cell r="A184" t="str">
            <v>F RPB-MG</v>
          </cell>
          <cell r="B184" t="str">
            <v>MG</v>
          </cell>
          <cell r="C184" t="str">
            <v>Eduardo Carvalho Vieira dos Santos</v>
          </cell>
        </row>
        <row r="185">
          <cell r="A185" t="str">
            <v>F BHZ 15-MG</v>
          </cell>
          <cell r="B185" t="str">
            <v>MG</v>
          </cell>
          <cell r="C185" t="str">
            <v xml:space="preserve">Alex Junior Rodrigues dos santos </v>
          </cell>
        </row>
        <row r="186">
          <cell r="A186" t="str">
            <v>F BHZ 20-MG</v>
          </cell>
          <cell r="B186" t="str">
            <v>MG</v>
          </cell>
          <cell r="C186" t="str">
            <v>Eduardo Carvalho Vieira dos Santos</v>
          </cell>
        </row>
        <row r="187">
          <cell r="A187" t="str">
            <v>F CXB-MG</v>
          </cell>
          <cell r="B187" t="str">
            <v>MG</v>
          </cell>
          <cell r="C187" t="str">
            <v>Cleber Silvestre Almeida e Silva</v>
          </cell>
        </row>
        <row r="188">
          <cell r="A188" t="str">
            <v>F CDC-MG</v>
          </cell>
          <cell r="B188" t="str">
            <v>MG</v>
          </cell>
          <cell r="C188" t="str">
            <v>Eduardo Carvalho Vieira dos Santos</v>
          </cell>
        </row>
        <row r="189">
          <cell r="A189" t="str">
            <v>F ITP-MG</v>
          </cell>
          <cell r="B189" t="str">
            <v>MG</v>
          </cell>
          <cell r="C189" t="str">
            <v>Eduardo Carvalho Vieira dos Santos</v>
          </cell>
        </row>
        <row r="190">
          <cell r="A190" t="str">
            <v>HLP-MG</v>
          </cell>
          <cell r="B190" t="str">
            <v>MG</v>
          </cell>
          <cell r="C190" t="str">
            <v>Cleber Silvestre Almeida e Silva</v>
          </cell>
        </row>
        <row r="191">
          <cell r="A191" t="str">
            <v>F PLE 02-MG</v>
          </cell>
          <cell r="B191" t="str">
            <v>MG</v>
          </cell>
          <cell r="C191" t="str">
            <v>Cleber Silvestre Almeida e Silva</v>
          </cell>
        </row>
        <row r="192">
          <cell r="A192" t="str">
            <v>F CGE 02-MG</v>
          </cell>
          <cell r="B192" t="str">
            <v>MG</v>
          </cell>
          <cell r="C192" t="str">
            <v xml:space="preserve">Alex Junior Rodrigues dos santos </v>
          </cell>
        </row>
        <row r="193">
          <cell r="A193" t="str">
            <v>F BHZ 19-MG</v>
          </cell>
          <cell r="B193" t="str">
            <v>MG</v>
          </cell>
          <cell r="C193" t="str">
            <v>Cleber Silvestre Almeida e Silva</v>
          </cell>
        </row>
        <row r="194">
          <cell r="A194" t="str">
            <v>F BHZ 17-MG</v>
          </cell>
          <cell r="B194" t="str">
            <v>MG</v>
          </cell>
          <cell r="C194" t="str">
            <v>Cleber Silvestre Almeida e Silva</v>
          </cell>
        </row>
        <row r="195">
          <cell r="A195" t="str">
            <v>F BHZ 16-MG</v>
          </cell>
          <cell r="B195" t="str">
            <v>MG</v>
          </cell>
          <cell r="C195" t="str">
            <v>Cleber Silvestre Almeida e Silva</v>
          </cell>
        </row>
        <row r="196">
          <cell r="A196" t="str">
            <v>F BHZ 18-MG</v>
          </cell>
          <cell r="B196" t="str">
            <v>MG</v>
          </cell>
          <cell r="C196" t="str">
            <v>Cleber Silvestre Almeida e Silva</v>
          </cell>
        </row>
        <row r="197">
          <cell r="A197" t="str">
            <v>F JCT-MG</v>
          </cell>
          <cell r="B197" t="str">
            <v>MG</v>
          </cell>
          <cell r="C197" t="str">
            <v xml:space="preserve">Alex Junior Rodrigues dos santos </v>
          </cell>
        </row>
        <row r="198">
          <cell r="A198" t="str">
            <v>F PLE-MG</v>
          </cell>
          <cell r="B198" t="str">
            <v>MG</v>
          </cell>
          <cell r="C198" t="str">
            <v>Cleber Silvestre Almeida e Silva</v>
          </cell>
        </row>
        <row r="199">
          <cell r="A199" t="str">
            <v>F CAR 03-MG</v>
          </cell>
          <cell r="B199" t="str">
            <v>MG</v>
          </cell>
          <cell r="C199" t="str">
            <v>Cleber Silvestre Almeida e Silva</v>
          </cell>
        </row>
        <row r="200">
          <cell r="A200" t="str">
            <v>F BHZ 14-MG</v>
          </cell>
          <cell r="B200" t="str">
            <v>MG</v>
          </cell>
          <cell r="C200" t="str">
            <v xml:space="preserve">Alex Junior Rodrigues dos santos </v>
          </cell>
        </row>
        <row r="201">
          <cell r="A201" t="str">
            <v>F CMC-MG</v>
          </cell>
          <cell r="B201" t="str">
            <v>MG</v>
          </cell>
          <cell r="C201" t="str">
            <v>Cleber Silvestre Almeida e Silva</v>
          </cell>
        </row>
        <row r="202">
          <cell r="A202" t="str">
            <v>F ITG-MG</v>
          </cell>
          <cell r="B202" t="str">
            <v>MG</v>
          </cell>
          <cell r="C202" t="str">
            <v xml:space="preserve">Alex Junior Rodrigues dos santos </v>
          </cell>
        </row>
        <row r="203">
          <cell r="A203" t="str">
            <v>F ITI-SP</v>
          </cell>
          <cell r="B203" t="str">
            <v>SPN</v>
          </cell>
          <cell r="C203" t="str">
            <v>THIAGO SANTOS SILVA</v>
          </cell>
        </row>
        <row r="204">
          <cell r="A204" t="str">
            <v>AVR-SP</v>
          </cell>
          <cell r="B204" t="str">
            <v>SPN</v>
          </cell>
          <cell r="C204" t="str">
            <v>THIAGO SANTOS SILVA</v>
          </cell>
        </row>
        <row r="205">
          <cell r="A205" t="str">
            <v>F TQT-SP</v>
          </cell>
          <cell r="B205" t="str">
            <v>SPN</v>
          </cell>
          <cell r="C205" t="str">
            <v>THIAGO SANTOS SILVA</v>
          </cell>
        </row>
        <row r="206">
          <cell r="A206" t="str">
            <v>F OUR-SP</v>
          </cell>
          <cell r="B206" t="str">
            <v>SPN</v>
          </cell>
          <cell r="C206" t="str">
            <v>THIAGO SANTOS SILVA</v>
          </cell>
        </row>
        <row r="207">
          <cell r="A207" t="str">
            <v>F TGI-SP</v>
          </cell>
          <cell r="B207" t="str">
            <v>SPN</v>
          </cell>
          <cell r="C207" t="str">
            <v>THIAGO SANTOS SILVA</v>
          </cell>
        </row>
        <row r="208">
          <cell r="A208" t="str">
            <v>F STC-SP</v>
          </cell>
          <cell r="B208" t="str">
            <v>SPN</v>
          </cell>
          <cell r="C208" t="str">
            <v>THIAGO SANTOS SILVA</v>
          </cell>
        </row>
        <row r="209">
          <cell r="A209" t="str">
            <v>DCN SP</v>
          </cell>
          <cell r="B209" t="str">
            <v>SPN</v>
          </cell>
          <cell r="C209" t="str">
            <v>THIAGO SANTOS SILVA</v>
          </cell>
        </row>
        <row r="210">
          <cell r="A210" t="str">
            <v>PPB-SP</v>
          </cell>
          <cell r="B210" t="str">
            <v>SPN</v>
          </cell>
          <cell r="C210" t="str">
            <v>THIAGO SANTOS SILVA</v>
          </cell>
        </row>
        <row r="211">
          <cell r="A211" t="str">
            <v>F OSW-SP</v>
          </cell>
          <cell r="B211" t="str">
            <v>SPN</v>
          </cell>
          <cell r="C211" t="str">
            <v>THIAGO SANTOS SILVA</v>
          </cell>
        </row>
        <row r="212">
          <cell r="A212" t="str">
            <v>F ADM-SP</v>
          </cell>
          <cell r="B212" t="str">
            <v>SPN</v>
          </cell>
          <cell r="C212" t="str">
            <v>THIAGO SANTOS SILVA</v>
          </cell>
        </row>
        <row r="213">
          <cell r="A213" t="str">
            <v>F MTN-SP</v>
          </cell>
          <cell r="B213" t="str">
            <v>SPN</v>
          </cell>
          <cell r="C213" t="str">
            <v>THIAGO SANTOS SILVA</v>
          </cell>
        </row>
        <row r="214">
          <cell r="A214" t="str">
            <v>F PVC-SP</v>
          </cell>
          <cell r="B214" t="str">
            <v>SPN</v>
          </cell>
          <cell r="C214" t="str">
            <v>THIAGO SANTOS SILVA</v>
          </cell>
        </row>
        <row r="215">
          <cell r="A215" t="str">
            <v>F RSN-SP</v>
          </cell>
          <cell r="B215" t="str">
            <v>SPN</v>
          </cell>
          <cell r="C215" t="str">
            <v>THIAGO SANTOS SILVA</v>
          </cell>
        </row>
        <row r="216">
          <cell r="A216" t="str">
            <v>F PRE-SP</v>
          </cell>
          <cell r="B216" t="str">
            <v>SPN</v>
          </cell>
          <cell r="C216" t="str">
            <v>THIAGO SANTOS SILVA</v>
          </cell>
        </row>
        <row r="217">
          <cell r="A217" t="str">
            <v>F TSP-SP</v>
          </cell>
          <cell r="B217" t="str">
            <v>SPN</v>
          </cell>
          <cell r="C217" t="str">
            <v>THIAGO SANTOS SILVA</v>
          </cell>
        </row>
        <row r="218">
          <cell r="A218" t="str">
            <v>F PRP-SP</v>
          </cell>
          <cell r="B218" t="str">
            <v>SPN</v>
          </cell>
          <cell r="C218" t="str">
            <v>THIAGO SANTOS SILVA</v>
          </cell>
        </row>
        <row r="219">
          <cell r="A219" t="str">
            <v>F RGF-SP</v>
          </cell>
          <cell r="B219" t="str">
            <v>SPN</v>
          </cell>
          <cell r="C219" t="str">
            <v>THIAGO SANTOS SILVA</v>
          </cell>
        </row>
        <row r="220">
          <cell r="A220" t="str">
            <v>AMC-SP</v>
          </cell>
          <cell r="B220" t="str">
            <v>SPN</v>
          </cell>
          <cell r="C220" t="str">
            <v>THIAGO SANTOS SILVA</v>
          </cell>
        </row>
        <row r="221">
          <cell r="A221" t="str">
            <v>SJP 02-SP</v>
          </cell>
          <cell r="B221" t="str">
            <v>SPN</v>
          </cell>
          <cell r="C221" t="str">
            <v>DANILO GOMES DA SILVA</v>
          </cell>
        </row>
        <row r="222">
          <cell r="A222" t="str">
            <v>SJP-SP</v>
          </cell>
          <cell r="B222" t="str">
            <v>SPN</v>
          </cell>
          <cell r="C222" t="str">
            <v>DANILO GOMES DA SILVA</v>
          </cell>
        </row>
        <row r="223">
          <cell r="A223" t="str">
            <v>SJP 03-SP</v>
          </cell>
          <cell r="B223" t="str">
            <v>SPN</v>
          </cell>
          <cell r="C223" t="str">
            <v>DANILO GOMES DA SILVA</v>
          </cell>
        </row>
        <row r="224">
          <cell r="A224" t="str">
            <v>SJP 04-SP</v>
          </cell>
          <cell r="B224" t="str">
            <v>SPN</v>
          </cell>
          <cell r="C224" t="str">
            <v>DANILO GOMES DA SILVA</v>
          </cell>
        </row>
        <row r="225">
          <cell r="A225" t="str">
            <v>F MRS-SP</v>
          </cell>
          <cell r="B225" t="str">
            <v>SPN</v>
          </cell>
          <cell r="C225" t="str">
            <v>DANILO GOMES DA SILVA</v>
          </cell>
        </row>
        <row r="226">
          <cell r="A226" t="str">
            <v>F NVH-SP</v>
          </cell>
          <cell r="B226" t="str">
            <v>SPN</v>
          </cell>
          <cell r="C226" t="str">
            <v>DANILO GOMES DA SILVA</v>
          </cell>
        </row>
        <row r="227">
          <cell r="A227" t="str">
            <v>F CTD-SP</v>
          </cell>
          <cell r="B227" t="str">
            <v>SPN</v>
          </cell>
          <cell r="C227" t="str">
            <v>DANILO GOMES DA SILVA</v>
          </cell>
        </row>
        <row r="228">
          <cell r="A228" t="str">
            <v>F IBG-SP</v>
          </cell>
          <cell r="B228" t="str">
            <v>SPN</v>
          </cell>
          <cell r="C228" t="str">
            <v>THIAGO SANTOS SILVA</v>
          </cell>
        </row>
        <row r="229">
          <cell r="A229" t="str">
            <v>BAU-SP</v>
          </cell>
          <cell r="B229" t="str">
            <v>SPN</v>
          </cell>
          <cell r="C229" t="str">
            <v>THIAGO SANTOS SILVA</v>
          </cell>
        </row>
        <row r="230">
          <cell r="A230" t="str">
            <v>BAU 03-SP</v>
          </cell>
          <cell r="B230" t="str">
            <v>SPN</v>
          </cell>
          <cell r="C230" t="str">
            <v>THIAGO SANTOS SILVA</v>
          </cell>
        </row>
        <row r="231">
          <cell r="A231" t="str">
            <v>F BRB-SP</v>
          </cell>
          <cell r="B231" t="str">
            <v>SPN</v>
          </cell>
          <cell r="C231" t="str">
            <v>THIAGO SANTOS SILVA</v>
          </cell>
        </row>
        <row r="232">
          <cell r="A232" t="str">
            <v>F ITAP-SP</v>
          </cell>
          <cell r="B232" t="str">
            <v>SPN</v>
          </cell>
          <cell r="C232" t="str">
            <v>THIAGO SANTOS SILVA</v>
          </cell>
        </row>
        <row r="233">
          <cell r="A233" t="str">
            <v>BAU 04-SP</v>
          </cell>
          <cell r="B233" t="str">
            <v>SPN</v>
          </cell>
          <cell r="C233" t="str">
            <v>THIAGO SANTOS SILVA</v>
          </cell>
        </row>
        <row r="234">
          <cell r="A234" t="str">
            <v>F DCR-SP</v>
          </cell>
          <cell r="B234" t="str">
            <v>SPN</v>
          </cell>
          <cell r="C234" t="str">
            <v>THIAGO SANTOS SILVA</v>
          </cell>
        </row>
        <row r="235">
          <cell r="A235" t="str">
            <v>PDR-SP</v>
          </cell>
          <cell r="B235" t="str">
            <v>SPN</v>
          </cell>
          <cell r="C235" t="str">
            <v>THIAGO SANTOS SILVA</v>
          </cell>
        </row>
        <row r="236">
          <cell r="A236" t="str">
            <v>SCL-SP</v>
          </cell>
          <cell r="B236" t="str">
            <v>SPN</v>
          </cell>
          <cell r="C236" t="str">
            <v>DANILO GOMES DA SILVA</v>
          </cell>
        </row>
        <row r="237">
          <cell r="A237" t="str">
            <v>ARA-SP</v>
          </cell>
          <cell r="B237" t="str">
            <v>SPN</v>
          </cell>
          <cell r="C237" t="str">
            <v>DANILO GOMES DA SILVA</v>
          </cell>
        </row>
        <row r="238">
          <cell r="A238" t="str">
            <v>PRSS-SP</v>
          </cell>
          <cell r="B238" t="str">
            <v>SPN</v>
          </cell>
          <cell r="C238" t="str">
            <v>DANILO GOMES DA SILVA</v>
          </cell>
        </row>
        <row r="239">
          <cell r="A239" t="str">
            <v>F DSC-SP</v>
          </cell>
          <cell r="B239" t="str">
            <v>SPN</v>
          </cell>
          <cell r="C239" t="str">
            <v>DANILO GOMES DA SILVA</v>
          </cell>
        </row>
        <row r="240">
          <cell r="A240" t="str">
            <v>F PFT-SP</v>
          </cell>
          <cell r="B240" t="str">
            <v>SPN</v>
          </cell>
          <cell r="C240" t="str">
            <v>DANILO GOMES DA SILVA</v>
          </cell>
        </row>
        <row r="241">
          <cell r="A241" t="str">
            <v>F QSC 03-SP</v>
          </cell>
          <cell r="B241" t="str">
            <v>SPN</v>
          </cell>
          <cell r="C241" t="str">
            <v>DANILO GOMES DA SILVA</v>
          </cell>
        </row>
        <row r="242">
          <cell r="A242" t="str">
            <v>F ARA-SP</v>
          </cell>
          <cell r="B242" t="str">
            <v>SPN</v>
          </cell>
          <cell r="C242" t="str">
            <v>DANILO GOMES DA SILVA</v>
          </cell>
        </row>
        <row r="243">
          <cell r="A243" t="str">
            <v>F AMB-SP</v>
          </cell>
          <cell r="B243" t="str">
            <v>SPN</v>
          </cell>
          <cell r="C243" t="str">
            <v>DANILO GOMES DA SILVA</v>
          </cell>
        </row>
        <row r="244">
          <cell r="A244" t="str">
            <v>F MCC-SP</v>
          </cell>
          <cell r="B244" t="str">
            <v>SPN</v>
          </cell>
          <cell r="C244" t="str">
            <v>DANILO GOMES DA SILVA</v>
          </cell>
        </row>
        <row r="245">
          <cell r="A245" t="str">
            <v>VGS-SP</v>
          </cell>
          <cell r="B245" t="str">
            <v>SPN</v>
          </cell>
          <cell r="C245" t="str">
            <v>DANILO GOMES DA SILVA</v>
          </cell>
        </row>
        <row r="246">
          <cell r="A246" t="str">
            <v>F RPD-SP</v>
          </cell>
          <cell r="B246" t="str">
            <v>SPN</v>
          </cell>
          <cell r="C246" t="str">
            <v>DANILO GOMES DA SILVA</v>
          </cell>
        </row>
        <row r="247">
          <cell r="A247" t="str">
            <v>F CSB-SP</v>
          </cell>
          <cell r="B247" t="str">
            <v>SPN</v>
          </cell>
          <cell r="C247" t="str">
            <v>DANILO GOMES DA SILVA</v>
          </cell>
        </row>
        <row r="248">
          <cell r="A248" t="str">
            <v>F SBV 02-SP</v>
          </cell>
          <cell r="B248" t="str">
            <v>SPN</v>
          </cell>
          <cell r="C248" t="str">
            <v>DANILO GOMES DA SILVA</v>
          </cell>
        </row>
        <row r="249">
          <cell r="A249" t="str">
            <v>F SBV-SP</v>
          </cell>
          <cell r="B249" t="str">
            <v>SPN</v>
          </cell>
          <cell r="C249" t="str">
            <v>DANILO GOMES DA SILVA</v>
          </cell>
        </row>
        <row r="250">
          <cell r="A250" t="str">
            <v>F AGI-SP</v>
          </cell>
          <cell r="B250" t="str">
            <v>SPN</v>
          </cell>
          <cell r="C250" t="str">
            <v>DANILO GOMES DA SILVA</v>
          </cell>
        </row>
        <row r="251">
          <cell r="A251" t="str">
            <v>FRC 03-SP</v>
          </cell>
          <cell r="B251" t="str">
            <v>SPN</v>
          </cell>
          <cell r="C251" t="str">
            <v>DANILO GOMES DA SILVA</v>
          </cell>
        </row>
        <row r="252">
          <cell r="A252" t="str">
            <v>FRC 02-SP</v>
          </cell>
          <cell r="B252" t="str">
            <v>SPN</v>
          </cell>
          <cell r="C252" t="str">
            <v>DANILO GOMES DA SILVA</v>
          </cell>
        </row>
        <row r="253">
          <cell r="A253" t="str">
            <v>FRC-SP</v>
          </cell>
          <cell r="B253" t="str">
            <v>SPN</v>
          </cell>
          <cell r="C253" t="str">
            <v>DANILO GOMES DA SILVA</v>
          </cell>
        </row>
        <row r="254">
          <cell r="A254" t="str">
            <v>F ITV 02-SP</v>
          </cell>
          <cell r="B254" t="str">
            <v>SPN</v>
          </cell>
          <cell r="C254" t="str">
            <v>DANILO GOMES DA SILVA</v>
          </cell>
        </row>
        <row r="255">
          <cell r="A255" t="str">
            <v>F ORL 02-SP</v>
          </cell>
          <cell r="B255" t="str">
            <v>SPN</v>
          </cell>
          <cell r="C255" t="str">
            <v>DANILO GOMES DA SILVA</v>
          </cell>
        </row>
        <row r="256">
          <cell r="A256" t="str">
            <v>BBD-SP</v>
          </cell>
          <cell r="B256" t="str">
            <v>SPN</v>
          </cell>
          <cell r="C256" t="str">
            <v>DANILO GOMES DA SILVA</v>
          </cell>
        </row>
        <row r="257">
          <cell r="A257" t="str">
            <v>F BAT-SP</v>
          </cell>
          <cell r="B257" t="str">
            <v>SPN</v>
          </cell>
          <cell r="C257" t="str">
            <v>DANILO GOMES DA SILVA</v>
          </cell>
        </row>
        <row r="258">
          <cell r="A258" t="str">
            <v>F MAP-SP</v>
          </cell>
          <cell r="B258" t="str">
            <v>SPN</v>
          </cell>
          <cell r="C258" t="str">
            <v>DANILO GOMES DA SILVA</v>
          </cell>
        </row>
        <row r="259">
          <cell r="A259" t="str">
            <v>F GUR-SP</v>
          </cell>
          <cell r="B259" t="str">
            <v>SPN</v>
          </cell>
          <cell r="C259" t="str">
            <v>DANILO GOMES DA SILVA</v>
          </cell>
        </row>
        <row r="260">
          <cell r="A260" t="str">
            <v>F RAO 02-SP</v>
          </cell>
          <cell r="B260" t="str">
            <v>SPN</v>
          </cell>
          <cell r="C260" t="str">
            <v>DANILO GOMES DA SILVA</v>
          </cell>
        </row>
        <row r="261">
          <cell r="A261" t="str">
            <v>F SJB-SP</v>
          </cell>
          <cell r="B261" t="str">
            <v>SPN</v>
          </cell>
          <cell r="C261" t="str">
            <v>DANILO GOMES DA SILVA</v>
          </cell>
        </row>
        <row r="262">
          <cell r="A262" t="str">
            <v>F VRD-SP</v>
          </cell>
          <cell r="B262" t="str">
            <v>SPN</v>
          </cell>
          <cell r="C262" t="str">
            <v>DANILO GOMES DA SILVA</v>
          </cell>
        </row>
        <row r="263">
          <cell r="A263" t="str">
            <v>F OLI-SP</v>
          </cell>
          <cell r="B263" t="str">
            <v>SPN</v>
          </cell>
          <cell r="C263" t="str">
            <v>DANILO GOMES DA SILVA</v>
          </cell>
        </row>
        <row r="264">
          <cell r="A264" t="str">
            <v>STZ-SP</v>
          </cell>
          <cell r="B264" t="str">
            <v>SPN</v>
          </cell>
          <cell r="C264" t="str">
            <v>DANILO GOMES DA SILVA</v>
          </cell>
        </row>
        <row r="265">
          <cell r="A265" t="str">
            <v>FERN-SP</v>
          </cell>
          <cell r="B265" t="str">
            <v>SPN</v>
          </cell>
          <cell r="C265" t="str">
            <v>DANILO GOMES DA SILVA</v>
          </cell>
        </row>
        <row r="266">
          <cell r="A266" t="str">
            <v>F JLS-SP</v>
          </cell>
          <cell r="B266" t="str">
            <v>SPN</v>
          </cell>
          <cell r="C266" t="str">
            <v>DANILO GOMES DA SILVA</v>
          </cell>
        </row>
        <row r="267">
          <cell r="A267" t="str">
            <v>F STF-SP</v>
          </cell>
          <cell r="B267" t="str">
            <v>SPN</v>
          </cell>
          <cell r="C267" t="str">
            <v>DANILO GOMES DA SILVA</v>
          </cell>
        </row>
        <row r="268">
          <cell r="A268" t="str">
            <v>F GNS-SP</v>
          </cell>
          <cell r="B268" t="str">
            <v>SPN</v>
          </cell>
          <cell r="C268" t="str">
            <v>DANILO GOMES DA SILVA</v>
          </cell>
        </row>
        <row r="269">
          <cell r="A269" t="str">
            <v>F VTP-SP</v>
          </cell>
          <cell r="B269" t="str">
            <v>SPN</v>
          </cell>
          <cell r="C269" t="str">
            <v>DANILO GOMES DA SILVA</v>
          </cell>
        </row>
        <row r="270">
          <cell r="A270" t="str">
            <v>F ORS-SP</v>
          </cell>
          <cell r="B270" t="str">
            <v>SPN</v>
          </cell>
          <cell r="C270" t="str">
            <v>DANILO GOMES DA SILVA</v>
          </cell>
        </row>
        <row r="271">
          <cell r="A271" t="str">
            <v>F PDP-SP</v>
          </cell>
          <cell r="B271" t="str">
            <v>SPN</v>
          </cell>
          <cell r="C271" t="str">
            <v>DANILO GOMES DA SILVA</v>
          </cell>
        </row>
        <row r="272">
          <cell r="A272" t="str">
            <v>F BRN-SP</v>
          </cell>
          <cell r="B272" t="str">
            <v>SPN</v>
          </cell>
          <cell r="C272" t="str">
            <v>DANILO GOMES DA SILVA</v>
          </cell>
        </row>
        <row r="273">
          <cell r="A273" t="str">
            <v>JBT-SP</v>
          </cell>
          <cell r="B273" t="str">
            <v>SPN</v>
          </cell>
          <cell r="C273" t="str">
            <v>DANILO GOMES DA SILVA</v>
          </cell>
        </row>
        <row r="274">
          <cell r="A274" t="str">
            <v>F GRB-SP</v>
          </cell>
          <cell r="B274" t="str">
            <v>SPN</v>
          </cell>
          <cell r="C274" t="str">
            <v>DANILO GOMES DA SILVA</v>
          </cell>
        </row>
        <row r="275">
          <cell r="A275" t="str">
            <v>F MTT-SP</v>
          </cell>
          <cell r="B275" t="str">
            <v>SPN</v>
          </cell>
          <cell r="C275" t="str">
            <v>DANILO GOMES DA SILVA</v>
          </cell>
        </row>
        <row r="276">
          <cell r="A276" t="str">
            <v>F TQA-SP</v>
          </cell>
          <cell r="B276" t="str">
            <v>SPN</v>
          </cell>
          <cell r="C276" t="str">
            <v>DANILO GOMES DA SILVA</v>
          </cell>
        </row>
        <row r="277">
          <cell r="A277" t="str">
            <v>F PTG-SP</v>
          </cell>
          <cell r="B277" t="str">
            <v>SPN</v>
          </cell>
          <cell r="C277" t="str">
            <v>DANILO GOMES DA SILVA</v>
          </cell>
        </row>
        <row r="278">
          <cell r="A278" t="str">
            <v>F GPC-SP</v>
          </cell>
          <cell r="B278" t="str">
            <v>SPN</v>
          </cell>
          <cell r="C278" t="str">
            <v>DANILO GOMES DA SILVA</v>
          </cell>
        </row>
        <row r="279">
          <cell r="A279" t="str">
            <v>F JSB-SP</v>
          </cell>
          <cell r="B279" t="str">
            <v>SPN</v>
          </cell>
          <cell r="C279" t="str">
            <v>DANILO GOMES DA SILVA</v>
          </cell>
        </row>
        <row r="280">
          <cell r="A280" t="str">
            <v>F PTR-SP</v>
          </cell>
          <cell r="B280" t="str">
            <v>SPN</v>
          </cell>
          <cell r="C280" t="str">
            <v>DANILO GOMES DA SILVA</v>
          </cell>
        </row>
        <row r="281">
          <cell r="A281" t="str">
            <v>F BDB-SP</v>
          </cell>
          <cell r="B281" t="str">
            <v>SPN</v>
          </cell>
          <cell r="C281" t="str">
            <v>DANILO GOMES DA SILVA</v>
          </cell>
        </row>
        <row r="282">
          <cell r="A282" t="str">
            <v>F NVG-SP</v>
          </cell>
          <cell r="B282" t="str">
            <v>SPN</v>
          </cell>
          <cell r="C282" t="str">
            <v>DANILO GOMES DA SILVA</v>
          </cell>
        </row>
        <row r="283">
          <cell r="A283" t="str">
            <v>F PLT-SP</v>
          </cell>
          <cell r="B283" t="str">
            <v>SPN</v>
          </cell>
          <cell r="C283" t="str">
            <v>DANILO GOMES DA SILVA</v>
          </cell>
        </row>
        <row r="284">
          <cell r="A284" t="str">
            <v>ARU 02-SP</v>
          </cell>
          <cell r="B284" t="str">
            <v>SPN</v>
          </cell>
          <cell r="C284" t="str">
            <v>THIAGO SANTOS SILVA</v>
          </cell>
        </row>
        <row r="285">
          <cell r="A285" t="str">
            <v>ARU-SP</v>
          </cell>
          <cell r="B285" t="str">
            <v>SPN</v>
          </cell>
          <cell r="C285" t="str">
            <v>THIAGO SANTOS SILVA</v>
          </cell>
        </row>
        <row r="286">
          <cell r="A286" t="str">
            <v>BGI-SP</v>
          </cell>
          <cell r="B286" t="str">
            <v>SPN</v>
          </cell>
          <cell r="C286" t="str">
            <v>THIAGO SANTOS SILVA</v>
          </cell>
        </row>
        <row r="287">
          <cell r="A287" t="str">
            <v>F PNP-SP</v>
          </cell>
          <cell r="B287" t="str">
            <v>SPN</v>
          </cell>
          <cell r="C287" t="str">
            <v>THIAGO SANTOS SILVA</v>
          </cell>
        </row>
        <row r="288">
          <cell r="A288" t="str">
            <v>F AND-SP</v>
          </cell>
          <cell r="B288" t="str">
            <v>SPN</v>
          </cell>
          <cell r="C288" t="str">
            <v>THIAGO SANTOS SILVA</v>
          </cell>
        </row>
        <row r="289">
          <cell r="A289" t="str">
            <v>F AUR-SP</v>
          </cell>
          <cell r="B289" t="str">
            <v>SPN</v>
          </cell>
          <cell r="C289" t="str">
            <v>THIAGO SANTOS SILVA</v>
          </cell>
        </row>
        <row r="290">
          <cell r="A290" t="str">
            <v>F GRR-SP</v>
          </cell>
          <cell r="B290" t="str">
            <v>SPN</v>
          </cell>
          <cell r="C290" t="str">
            <v>THIAGO SANTOS SILVA</v>
          </cell>
        </row>
        <row r="291">
          <cell r="A291" t="str">
            <v>F BTM-SP</v>
          </cell>
          <cell r="B291" t="str">
            <v>SPN</v>
          </cell>
          <cell r="C291" t="str">
            <v>THIAGO SANTOS SILVA</v>
          </cell>
        </row>
        <row r="292">
          <cell r="A292" t="str">
            <v>F VLP-SP</v>
          </cell>
          <cell r="B292" t="str">
            <v>SPN</v>
          </cell>
          <cell r="C292" t="str">
            <v>THIAGO SANTOS SILVA</v>
          </cell>
        </row>
        <row r="293">
          <cell r="A293" t="str">
            <v>F LNS-SP</v>
          </cell>
          <cell r="B293" t="str">
            <v>SPN</v>
          </cell>
          <cell r="C293" t="str">
            <v>THIAGO SANTOS SILVA</v>
          </cell>
        </row>
        <row r="294">
          <cell r="A294" t="str">
            <v>F MII-SP</v>
          </cell>
          <cell r="B294" t="str">
            <v>SPN</v>
          </cell>
          <cell r="C294" t="str">
            <v>THIAGO SANTOS SILVA</v>
          </cell>
        </row>
        <row r="295">
          <cell r="A295" t="str">
            <v>F TPA-SP</v>
          </cell>
          <cell r="B295" t="str">
            <v>SPN</v>
          </cell>
          <cell r="C295" t="str">
            <v>THIAGO SANTOS SILVA</v>
          </cell>
        </row>
        <row r="296">
          <cell r="A296" t="str">
            <v>F ASI-SP</v>
          </cell>
          <cell r="B296" t="str">
            <v>SPN</v>
          </cell>
          <cell r="C296" t="str">
            <v>THIAGO SANTOS SILVA</v>
          </cell>
        </row>
        <row r="297">
          <cell r="A297" t="str">
            <v>MII-SP</v>
          </cell>
          <cell r="B297" t="str">
            <v>SPN</v>
          </cell>
          <cell r="C297" t="str">
            <v>THIAGO SANTOS SILVA</v>
          </cell>
        </row>
        <row r="298">
          <cell r="A298" t="str">
            <v>F GRC-SP</v>
          </cell>
          <cell r="B298" t="str">
            <v>SPN</v>
          </cell>
          <cell r="C298" t="str">
            <v>THIAGO SANTOS SILVA</v>
          </cell>
        </row>
        <row r="299">
          <cell r="A299" t="str">
            <v>F PRC-SP</v>
          </cell>
          <cell r="B299" t="str">
            <v>SPN</v>
          </cell>
          <cell r="C299" t="str">
            <v>THIAGO SANTOS SILVA</v>
          </cell>
        </row>
        <row r="300">
          <cell r="A300" t="str">
            <v>F JAU-SP</v>
          </cell>
          <cell r="B300" t="str">
            <v>SPN</v>
          </cell>
          <cell r="C300" t="str">
            <v>THIAGO SANTOS SILVA</v>
          </cell>
        </row>
        <row r="301">
          <cell r="A301" t="str">
            <v>BTC-SP</v>
          </cell>
          <cell r="B301" t="str">
            <v>SPN</v>
          </cell>
          <cell r="C301" t="str">
            <v>THIAGO SANTOS SILVA</v>
          </cell>
        </row>
        <row r="302">
          <cell r="A302" t="str">
            <v>BAU 02-SP</v>
          </cell>
          <cell r="B302" t="str">
            <v>SPN</v>
          </cell>
          <cell r="C302" t="str">
            <v>THIAGO SANTOS SILVA</v>
          </cell>
        </row>
        <row r="303">
          <cell r="A303" t="str">
            <v>F LCP-SP</v>
          </cell>
          <cell r="B303" t="str">
            <v>SPN</v>
          </cell>
          <cell r="C303" t="str">
            <v>THIAGO SANTOS SILVA</v>
          </cell>
        </row>
        <row r="304">
          <cell r="A304" t="str">
            <v>F BRR-SP</v>
          </cell>
          <cell r="B304" t="str">
            <v>SPN</v>
          </cell>
          <cell r="C304" t="str">
            <v>THIAGO SANTOS SILVA</v>
          </cell>
        </row>
        <row r="305">
          <cell r="A305" t="str">
            <v>F BTS-SP</v>
          </cell>
          <cell r="B305" t="str">
            <v>SPN</v>
          </cell>
          <cell r="C305" t="str">
            <v>THIAGO SANTOS SILVA</v>
          </cell>
        </row>
        <row r="306">
          <cell r="A306" t="str">
            <v>F SML-SP</v>
          </cell>
          <cell r="B306" t="str">
            <v>SPN</v>
          </cell>
          <cell r="C306" t="str">
            <v>THIAGO SANTOS SILVA</v>
          </cell>
        </row>
        <row r="307">
          <cell r="A307" t="str">
            <v>AGD-SP</v>
          </cell>
          <cell r="B307" t="str">
            <v>SPN</v>
          </cell>
          <cell r="C307" t="str">
            <v>THIAGO SANTOS SILVA</v>
          </cell>
        </row>
        <row r="308">
          <cell r="A308" t="str">
            <v>RAO 03-SP</v>
          </cell>
          <cell r="B308" t="str">
            <v>SPN</v>
          </cell>
          <cell r="C308" t="str">
            <v>DANILO GOMES DA SILVA</v>
          </cell>
        </row>
        <row r="309">
          <cell r="A309" t="str">
            <v>CPE-SP</v>
          </cell>
          <cell r="B309" t="str">
            <v>SPN</v>
          </cell>
          <cell r="C309" t="str">
            <v>DANILO GOMES DA SILVA</v>
          </cell>
        </row>
        <row r="310">
          <cell r="A310" t="str">
            <v>F MAT-SP</v>
          </cell>
          <cell r="B310" t="str">
            <v>SPN</v>
          </cell>
          <cell r="C310" t="str">
            <v>DANILO GOMES DA SILVA</v>
          </cell>
        </row>
        <row r="311">
          <cell r="A311" t="str">
            <v>RAO 02-SP</v>
          </cell>
          <cell r="B311" t="str">
            <v>SPN</v>
          </cell>
          <cell r="C311" t="str">
            <v>DANILO GOMES DA SILVA</v>
          </cell>
        </row>
        <row r="312">
          <cell r="A312" t="str">
            <v>RAO-SP</v>
          </cell>
          <cell r="B312" t="str">
            <v>SPN</v>
          </cell>
          <cell r="C312" t="str">
            <v>DANILO GOMES DA SILVA</v>
          </cell>
        </row>
        <row r="313">
          <cell r="A313" t="str">
            <v>BTT-SP</v>
          </cell>
          <cell r="B313" t="str">
            <v>SPN</v>
          </cell>
          <cell r="C313" t="str">
            <v>DANILO GOMES DA SILVA</v>
          </cell>
        </row>
        <row r="314">
          <cell r="A314" t="str">
            <v>F SRV-SP</v>
          </cell>
          <cell r="B314" t="str">
            <v>SPN</v>
          </cell>
          <cell r="C314" t="str">
            <v>DANILO GOMES DA SILVA</v>
          </cell>
        </row>
        <row r="315">
          <cell r="A315" t="str">
            <v>F SNA-SP</v>
          </cell>
          <cell r="B315" t="str">
            <v>SPN</v>
          </cell>
          <cell r="C315" t="str">
            <v>DANILO GOMES DA SILVA</v>
          </cell>
        </row>
        <row r="316">
          <cell r="A316" t="str">
            <v>F RCR-SP</v>
          </cell>
          <cell r="B316" t="str">
            <v>SPN</v>
          </cell>
          <cell r="C316" t="str">
            <v>THIAGO SANTOS SILVA</v>
          </cell>
        </row>
        <row r="317">
          <cell r="A317" t="str">
            <v>F SCP-SP</v>
          </cell>
          <cell r="B317" t="str">
            <v>SPN</v>
          </cell>
          <cell r="C317" t="str">
            <v>DANILO GOMES DA SILVA</v>
          </cell>
        </row>
        <row r="318">
          <cell r="A318" t="str">
            <v>F ARR 02-MG</v>
          </cell>
          <cell r="B318" t="str">
            <v>MG</v>
          </cell>
          <cell r="C318" t="str">
            <v xml:space="preserve">Alex Junior Rodrigues dos santos </v>
          </cell>
        </row>
        <row r="319">
          <cell r="A319" t="str">
            <v>F CAR 02-MG</v>
          </cell>
          <cell r="B319" t="str">
            <v>MG</v>
          </cell>
          <cell r="C319" t="str">
            <v>Cleber Silvestre Almeida e Silva</v>
          </cell>
        </row>
        <row r="320">
          <cell r="A320" t="str">
            <v>F MTS-MG</v>
          </cell>
          <cell r="B320" t="str">
            <v>MG</v>
          </cell>
          <cell r="C320" t="str">
            <v xml:space="preserve">Alex Junior Rodrigues dos santos </v>
          </cell>
        </row>
        <row r="321">
          <cell r="A321" t="str">
            <v>PA BTM-MG</v>
          </cell>
          <cell r="B321" t="str">
            <v>MG</v>
          </cell>
          <cell r="C321" t="str">
            <v xml:space="preserve">Alex Junior Rodrigues dos santos </v>
          </cell>
        </row>
        <row r="322">
          <cell r="A322" t="str">
            <v>DC CUV 001</v>
          </cell>
          <cell r="B322" t="str">
            <v>MG</v>
          </cell>
          <cell r="C322" t="str">
            <v>Hiago Vinicius Alves Dos Santos Silva</v>
          </cell>
        </row>
        <row r="323">
          <cell r="A323" t="str">
            <v>DC MTC-MG</v>
          </cell>
          <cell r="B323" t="str">
            <v>MG</v>
          </cell>
          <cell r="C323" t="str">
            <v>Hiago Vinicius Alves Dos Santos Silva</v>
          </cell>
        </row>
        <row r="324">
          <cell r="A324" t="str">
            <v>DC JDF-MG</v>
          </cell>
          <cell r="B324" t="str">
            <v>MG</v>
          </cell>
          <cell r="C324" t="str">
            <v>Eduardo Carvalho Vieira dos Santos</v>
          </cell>
        </row>
        <row r="325">
          <cell r="A325" t="str">
            <v>DC PPY-MG</v>
          </cell>
          <cell r="B325" t="str">
            <v>MG</v>
          </cell>
          <cell r="C325" t="str">
            <v xml:space="preserve">Alex Junior Rodrigues dos santos </v>
          </cell>
        </row>
        <row r="326">
          <cell r="A326" t="str">
            <v>DC QDF 001</v>
          </cell>
          <cell r="B326" t="str">
            <v>MG</v>
          </cell>
          <cell r="C326" t="str">
            <v>Eduardo Carvalho Vieira dos Santos</v>
          </cell>
        </row>
        <row r="327">
          <cell r="A327" t="str">
            <v>DC TFL 001</v>
          </cell>
          <cell r="B327" t="str">
            <v>MG</v>
          </cell>
          <cell r="C327" t="str">
            <v>Hiago Vinicius Alves Dos Santos Silva</v>
          </cell>
        </row>
        <row r="328">
          <cell r="A328" t="str">
            <v>DC UBA-MG</v>
          </cell>
          <cell r="B328" t="str">
            <v>MG</v>
          </cell>
          <cell r="C328" t="str">
            <v>Eduardo Carvalho Vieira dos Santos</v>
          </cell>
        </row>
        <row r="329">
          <cell r="A329" t="str">
            <v>DC VAG 001</v>
          </cell>
          <cell r="B329" t="str">
            <v>MG</v>
          </cell>
          <cell r="C329" t="str">
            <v>Cleber Silvestre Almeida e Silva</v>
          </cell>
        </row>
        <row r="330">
          <cell r="A330" t="str">
            <v>DC CHV-MG</v>
          </cell>
          <cell r="B330" t="str">
            <v>MG</v>
          </cell>
          <cell r="C330" t="str">
            <v>DC CHV-MG</v>
          </cell>
        </row>
        <row r="331">
          <cell r="A331" t="str">
            <v>PA CGE-MG</v>
          </cell>
          <cell r="B331" t="str">
            <v>MG</v>
          </cell>
          <cell r="C331" t="str">
            <v xml:space="preserve">Alex Junior Rodrigues dos santos </v>
          </cell>
        </row>
        <row r="332">
          <cell r="A332" t="str">
            <v>PA MANDAE-MG</v>
          </cell>
          <cell r="B332" t="str">
            <v>MG</v>
          </cell>
          <cell r="C332" t="str">
            <v xml:space="preserve">Alex Junior Rodrigues dos santos </v>
          </cell>
        </row>
        <row r="333">
          <cell r="A333" t="str">
            <v>PA MELI-CGE-MG</v>
          </cell>
          <cell r="B333" t="str">
            <v>MG</v>
          </cell>
          <cell r="C333" t="str">
            <v xml:space="preserve">Alex Junior Rodrigues dos santos </v>
          </cell>
        </row>
        <row r="334">
          <cell r="A334" t="str">
            <v>PA WEPINK 02-MG</v>
          </cell>
          <cell r="B334" t="str">
            <v>MG</v>
          </cell>
          <cell r="C334" t="str">
            <v xml:space="preserve">Alex Junior Rodrigues dos santos </v>
          </cell>
        </row>
        <row r="335">
          <cell r="A335" t="str">
            <v>PA WEPINK-MG</v>
          </cell>
          <cell r="B335" t="str">
            <v>MG</v>
          </cell>
          <cell r="C335" t="str">
            <v xml:space="preserve">Alex Junior Rodrigues dos santos </v>
          </cell>
        </row>
        <row r="336">
          <cell r="A336" t="str">
            <v>MG CGE</v>
          </cell>
          <cell r="B336" t="str">
            <v>MG</v>
          </cell>
          <cell r="C336" t="str">
            <v>MG CGE</v>
          </cell>
        </row>
        <row r="337">
          <cell r="A337" t="str">
            <v xml:space="preserve">CGE </v>
          </cell>
          <cell r="B337" t="str">
            <v>MG</v>
          </cell>
          <cell r="C337" t="str">
            <v>Wesley de Matos Moreira</v>
          </cell>
        </row>
        <row r="338">
          <cell r="A338" t="str">
            <v>SN RAO</v>
          </cell>
          <cell r="B338" t="str">
            <v>SPN</v>
          </cell>
          <cell r="C338" t="str">
            <v>Carlos Chen</v>
          </cell>
        </row>
        <row r="339">
          <cell r="A339" t="str">
            <v>DC BAU-SP</v>
          </cell>
          <cell r="B339" t="str">
            <v>SPN</v>
          </cell>
          <cell r="C339" t="str">
            <v>THIAGO SANTOS SILVA</v>
          </cell>
        </row>
        <row r="340">
          <cell r="A340" t="str">
            <v>DC SJP-SP</v>
          </cell>
          <cell r="B340" t="str">
            <v>SPN</v>
          </cell>
          <cell r="C340" t="str">
            <v>DANILO GOMES DA SILVA</v>
          </cell>
        </row>
        <row r="341">
          <cell r="A341" t="str">
            <v>SP RBP</v>
          </cell>
          <cell r="B341" t="str">
            <v>SPN</v>
          </cell>
          <cell r="C341" t="str">
            <v>Ronaldo Pereira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TBH" refreshedDate="46281.60860821759" createdVersion="8" refreshedVersion="8" minRefreshableVersion="3" recordCount="1263" xr:uid="{D714ACC7-75CF-45F3-9CD1-9AAC950A0139}">
  <cacheSource type="worksheet">
    <worksheetSource ref="A1:I1048576" sheet="detalhes"/>
  </cacheSource>
  <cacheFields count="9">
    <cacheField name="工单编号_x000a_Pedido" numFmtId="0">
      <sharedItems containsBlank="1"/>
    </cacheField>
    <cacheField name="运单号_x000a_Remessa" numFmtId="0">
      <sharedItems containsString="0" containsBlank="1" containsNumber="1" containsInteger="1" minValue="999881869887808" maxValue="999882093659608"/>
    </cacheField>
    <cacheField name="工单状态_x000a_Status de Chamado" numFmtId="0">
      <sharedItems containsBlank="1"/>
    </cacheField>
    <cacheField name="二级类型名称_x000a_Nome de tipo de nível II" numFmtId="0">
      <sharedItems containsBlank="1"/>
    </cacheField>
    <cacheField name="登记时间_x000a_data de registro" numFmtId="0">
      <sharedItems containsBlank="1"/>
    </cacheField>
    <cacheField name="派件网点 Base de Entrega" numFmtId="0">
      <sharedItems containsBlank="1" count="114">
        <s v="RAO 02-SP"/>
        <s v="F PRE-SP"/>
        <s v="PPB-SP"/>
        <s v="CPE-SP"/>
        <s v="F OUR-SP"/>
        <s v="ARA-SP"/>
        <s v="F GRC-SP"/>
        <s v="BGI-SP"/>
        <s v="FERN-SP"/>
        <s v="FRC 02-SP"/>
        <s v="F CTD-SP"/>
        <s v="SJP 03-SP"/>
        <s v="SCL-SP"/>
        <s v="BBD-SP"/>
        <s v="MII-SP"/>
        <s v="PRSS-SP"/>
        <s v="F TQA-SP"/>
        <s v="F ITV 02-SP"/>
        <s v="RAO 03-SP"/>
        <s v="ARU 02-SP"/>
        <s v="SJP 02-SP"/>
        <s v="SJP 04-SP"/>
        <s v="F RAO 02-SP"/>
        <s v="PDR-SP"/>
        <s v="BAU 04-SP"/>
        <s v="AVR-SP"/>
        <s v="F LNS-SP"/>
        <s v="FRC 03-SP"/>
        <s v="F ASI-SP"/>
        <s v="F VTP-SP"/>
        <s v="SJP-SP"/>
        <s v="F AND-SP"/>
        <s v="F LCP-SP"/>
        <s v="DCN SP"/>
        <s v="BTT-SP"/>
        <s v="F RCR-SP"/>
        <s v="F AMB-SP"/>
        <s v="ARU-SP"/>
        <s v="RAO-SP"/>
        <s v="BAU 03-SP"/>
        <s v="BAU 02-SP"/>
        <s v="F AUR-SP"/>
        <s v="BTC-SP"/>
        <s v="F MAP-SP"/>
        <s v="F IBG-SP"/>
        <s v="F PRP-SP"/>
        <s v="F OLI-SP"/>
        <s v="F BAT-SP"/>
        <s v="F TQT-SP"/>
        <s v="F NVG-SP"/>
        <s v="F ORS-SP"/>
        <s v="F DCR-SP"/>
        <s v="F ADM-SP"/>
        <s v="F SNA-SP"/>
        <s v="F PNP-SP"/>
        <s v="F ITT-SP"/>
        <s v="F TSP-SP"/>
        <s v="F TGI-SP"/>
        <s v="F MII-SP"/>
        <s v="F QSC 03-SP"/>
        <s v="F OSW-SP"/>
        <s v="F JAU-SP"/>
        <s v="F STF-SP"/>
        <s v="F MRS-SP"/>
        <s v="F MTN-SP"/>
        <s v="F PRC-SP"/>
        <s v="F TPA-SP"/>
        <s v="F AGI-SP"/>
        <s v="F SJB-SP"/>
        <s v="F BDB-SP"/>
        <s v="F MAT-SP"/>
        <s v="F MTT-SP"/>
        <s v="F PTG-SP"/>
        <s v="F RPD-SP"/>
        <s v="F GNS-SP"/>
        <s v="F PDP-SP"/>
        <s v="F SML-SP"/>
        <s v="F SRV-SP"/>
        <s v="JBT-SP"/>
        <s v="F GRR-SP"/>
        <s v="F RSN-SP"/>
        <s v="F PRJ-SP"/>
        <s v="F GPC-SP"/>
        <s v="F SBV 02-SP"/>
        <s v="VGS-SP"/>
        <m/>
        <s v="F PFT-SP" u="1"/>
        <s v="F PLT-SP" u="1"/>
        <s v="F STC-SP" u="1"/>
        <s v="F ITAP-SP" u="1"/>
        <s v="F SCP-SP" u="1"/>
        <s v="F BRR-SP" u="1"/>
        <s v="F RGF-SP" u="1"/>
        <s v="F BRB-SP" u="1"/>
        <s v="F ARA-SP" u="1"/>
        <s v="F VLP-SP" u="1"/>
        <s v="F ITI-SP" u="1"/>
        <s v="F GRB-SP" u="1"/>
        <s v="AGD-SP" u="1"/>
        <s v="F DSC-SP" u="1"/>
        <s v="F CSB-SP" u="1"/>
        <s v="F SBV-SP" u="1"/>
        <s v="F PVC-SP" u="1"/>
        <s v="F JLS-SP" u="1"/>
        <s v="F ORL 02-SP" u="1"/>
        <s v="F NVH-SP" u="1"/>
        <s v="F BRN-SP" u="1"/>
        <s v="F MCC-SP" u="1"/>
        <s v="F VRD-SP" u="1"/>
        <s v="F JSB-SP" u="1"/>
        <s v="F BTM-SP" u="1"/>
        <s v="F PTR-SP" u="1"/>
        <s v="F GUR-SP" u="1"/>
        <s v="F BTS-SP" u="1"/>
      </sharedItems>
    </cacheField>
    <cacheField name="区域_x000a_Regional" numFmtId="0">
      <sharedItems containsBlank="1"/>
    </cacheField>
    <cacheField name="签收时间_x000a_Tempo de assinatura" numFmtId="0">
      <sharedItems containsBlank="1" containsMixedTypes="1" containsNumber="1" containsInteger="1" minValue="0" maxValue="0"/>
    </cacheField>
    <cacheField name="是否签收_x000a_Se foi assinado" numFmtId="0">
      <sharedItems containsBlank="1" count="3">
        <s v="Não"/>
        <s v="Si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3">
  <r>
    <s v="5349055908868"/>
    <n v="999881956082735"/>
    <s v="Processamento concluído|处理完成"/>
    <s v="[LATAM] Delivery progress enquiry"/>
    <s v="2026-09-15 00:07:27"/>
    <x v="0"/>
    <s v="SPN"/>
    <n v="0"/>
    <x v="0"/>
  </r>
  <r>
    <s v="5351456423684"/>
    <n v="999882009737373"/>
    <s v="Fechado|已关闭"/>
    <s v="[LATAM] Delivery progress enquiry"/>
    <s v="2026-09-15 00:18:35"/>
    <x v="1"/>
    <s v="SPN"/>
    <s v="2026-09-15 18:12:29"/>
    <x v="1"/>
  </r>
  <r>
    <s v="5351644324612"/>
    <n v="999881991310957"/>
    <s v="Fechado|已关闭"/>
    <s v="[LATAM] Delivery progress enquiry"/>
    <s v="2026-09-15 00:24:05"/>
    <x v="2"/>
    <s v="SPN"/>
    <s v="2026-09-16 08:45:26"/>
    <x v="1"/>
  </r>
  <r>
    <s v="5351563801348"/>
    <n v="999882024015515"/>
    <s v="Fechado|已关闭"/>
    <s v="[LATAM] Delivery progress enquiry"/>
    <s v="2026-09-15 00:26:27"/>
    <x v="3"/>
    <s v="SPN"/>
    <s v="2026-09-15 18:48:48"/>
    <x v="1"/>
  </r>
  <r>
    <s v="5351575285252"/>
    <n v="999881970012728"/>
    <s v="Processamento concluído|处理完成"/>
    <s v="[LATAM] Delivery progress enquiry"/>
    <s v="2026-09-15 00:49:38"/>
    <x v="4"/>
    <s v="SPN"/>
    <n v="0"/>
    <x v="0"/>
  </r>
  <r>
    <s v="5350348114948"/>
    <n v="999882004999913"/>
    <s v="Fechado|已关闭"/>
    <s v="[LATAM] Delivery progress enquiry"/>
    <s v="2026-09-15 00:55:57"/>
    <x v="2"/>
    <s v="SPN"/>
    <n v="0"/>
    <x v="0"/>
  </r>
  <r>
    <s v="5354322214660"/>
    <n v="999881944404526"/>
    <s v="Fechado|已关闭"/>
    <s v="[LATAM] Delivery progress enquiry"/>
    <s v="2026-09-15 04:21:42"/>
    <x v="5"/>
    <s v="SPN"/>
    <n v="0"/>
    <x v="0"/>
  </r>
  <r>
    <s v="5354703807492"/>
    <n v="999882001712152"/>
    <s v="Fechado|已关闭"/>
    <s v="[LATAM] Delivery progress enquiry"/>
    <s v="2026-09-15 04:22:59"/>
    <x v="6"/>
    <s v="SPN"/>
    <s v="2026-09-15 12:41:01"/>
    <x v="1"/>
  </r>
  <r>
    <s v="5355357589252"/>
    <n v="999881975403178"/>
    <s v="Fechado|已关闭"/>
    <s v="[LATAM] Delivery progress enquiry"/>
    <s v="2026-09-15 05:47:02"/>
    <x v="7"/>
    <s v="SPN"/>
    <s v="2026-09-15 11:10:19"/>
    <x v="1"/>
  </r>
  <r>
    <s v="5355537356804"/>
    <n v="999882012302110"/>
    <s v="Fechado|已关闭"/>
    <s v="[LATAM] Delivery progress enquiry"/>
    <s v="2026-09-15 06:08:43"/>
    <x v="8"/>
    <s v="SPN"/>
    <s v="2026-09-15 17:51:59"/>
    <x v="1"/>
  </r>
  <r>
    <s v="5356525389316"/>
    <n v="999882025485969"/>
    <s v="Fechado|已关闭"/>
    <s v="[LATAM] Delivery progress enquiry"/>
    <s v="2026-09-15 06:13:51"/>
    <x v="9"/>
    <s v="SPN"/>
    <s v="2026-09-15 13:41:00"/>
    <x v="1"/>
  </r>
  <r>
    <s v="5355732731908"/>
    <n v="999882018120466"/>
    <s v="Fechado|已关闭"/>
    <s v="[LATAM] Delivery progress enquiry"/>
    <s v="2026-09-15 06:23:41"/>
    <x v="10"/>
    <s v="SPN"/>
    <s v="2026-09-15 10:37:00"/>
    <x v="1"/>
  </r>
  <r>
    <s v="5356104449796"/>
    <n v="999882018120466"/>
    <s v="Fechado|已关闭"/>
    <s v="[LATAM] Delivery progress enquiry"/>
    <s v="2026-09-15 06:26:57"/>
    <x v="10"/>
    <s v="SPN"/>
    <s v="2026-09-15 10:37:00"/>
    <x v="1"/>
  </r>
  <r>
    <s v="5356253928196"/>
    <n v="999881998096949"/>
    <s v="Fechado|已关闭"/>
    <s v="[LATAM] Delivery progress enquiry"/>
    <s v="2026-09-15 06:27:03"/>
    <x v="3"/>
    <s v="SPN"/>
    <s v="2026-09-15 14:33:42"/>
    <x v="1"/>
  </r>
  <r>
    <s v="5355731187716"/>
    <n v="999881996354501"/>
    <s v="Fechado|已关闭"/>
    <s v="[LATAM] Delivery progress enquiry"/>
    <s v="2026-09-15 06:28:35"/>
    <x v="2"/>
    <s v="SPN"/>
    <n v="0"/>
    <x v="0"/>
  </r>
  <r>
    <s v="5355565539844"/>
    <n v="999882040625158"/>
    <s v="Fechado|已关闭"/>
    <s v="[LATAM] Delivery progress enquiry"/>
    <s v="2026-09-15 06:32:47"/>
    <x v="5"/>
    <s v="SPN"/>
    <n v="0"/>
    <x v="0"/>
  </r>
  <r>
    <s v="5356360762372"/>
    <n v="999881995829580"/>
    <s v="Fechado|已关闭"/>
    <s v="[LATAM] Delivery progress enquiry"/>
    <s v="2026-09-15 06:35:48"/>
    <x v="8"/>
    <s v="SPN"/>
    <s v="2026-09-15 14:05:35"/>
    <x v="1"/>
  </r>
  <r>
    <s v="5356254324740"/>
    <n v="999881992801413"/>
    <s v="Fechado|已关闭"/>
    <s v="[LATAM] Delivery progress enquiry"/>
    <s v="2026-09-15 06:38:51"/>
    <x v="11"/>
    <s v="SPN"/>
    <s v="2026-09-15 15:45:29"/>
    <x v="1"/>
  </r>
  <r>
    <s v="5355674639364"/>
    <n v="999882037044685"/>
    <s v="Fechado|已关闭"/>
    <s v="[LATAM] Delivery progress enquiry"/>
    <s v="2026-09-15 06:54:30"/>
    <x v="0"/>
    <s v="SPN"/>
    <s v="2026-09-15 11:12:32"/>
    <x v="1"/>
  </r>
  <r>
    <s v="5355763592964"/>
    <n v="999881988785009"/>
    <s v="Fechado|已关闭"/>
    <s v="[LATAM] Delivery progress enquiry"/>
    <s v="2026-09-15 06:56:26"/>
    <x v="3"/>
    <s v="SPN"/>
    <s v="2026-09-15 10:39:24"/>
    <x v="1"/>
  </r>
  <r>
    <s v="5355123852036"/>
    <n v="999882031882568"/>
    <s v="Fechado|已关闭"/>
    <s v="[LATAM] Delivery progress enquiry"/>
    <s v="2026-09-15 06:57:51"/>
    <x v="12"/>
    <s v="SPN"/>
    <s v="2026-09-15 10:35:18"/>
    <x v="1"/>
  </r>
  <r>
    <s v="5356178814724"/>
    <n v="999881995199640"/>
    <s v="Fechado|已关闭"/>
    <s v="[LATAM] Delivery progress enquiry"/>
    <s v="2026-09-15 06:58:01"/>
    <x v="2"/>
    <s v="SPN"/>
    <n v="0"/>
    <x v="0"/>
  </r>
  <r>
    <s v="5355133978116"/>
    <n v="999881979864531"/>
    <s v="Fechado|已关闭"/>
    <s v="[LATAM] Delivery progress enquiry"/>
    <s v="2026-09-15 06:58:53"/>
    <x v="4"/>
    <s v="SPN"/>
    <s v="2026-09-15 11:56:24"/>
    <x v="1"/>
  </r>
  <r>
    <s v="5356567004932"/>
    <n v="999882016156268"/>
    <s v="Fechado|已关闭"/>
    <s v="[LATAM] Delivery progress enquiry"/>
    <s v="2026-09-15 07:00:46"/>
    <x v="13"/>
    <s v="SPN"/>
    <s v="2026-09-15 10:20:16"/>
    <x v="1"/>
  </r>
  <r>
    <s v="5356807246596"/>
    <n v="999882025285706"/>
    <s v="Fechado|已关闭"/>
    <s v="[LATAM] Delivery progress enquiry"/>
    <s v="2026-09-15 07:05:06"/>
    <x v="14"/>
    <s v="SPN"/>
    <s v="2026-09-15 16:38:27"/>
    <x v="1"/>
  </r>
  <r>
    <s v="5356139566596"/>
    <n v="999882033211525"/>
    <s v="Fechado|已关闭"/>
    <s v="[LATAM] Delivery progress enquiry"/>
    <s v="2026-09-15 07:08:30"/>
    <x v="0"/>
    <s v="SPN"/>
    <n v="0"/>
    <x v="0"/>
  </r>
  <r>
    <s v="5356202766596"/>
    <n v="999882045956628"/>
    <s v="Fechado|已关闭"/>
    <s v="[LATAM] Delivery progress enquiry"/>
    <s v="2026-09-15 07:24:38"/>
    <x v="15"/>
    <s v="SPN"/>
    <s v="2026-09-15 09:59:47"/>
    <x v="1"/>
  </r>
  <r>
    <s v="5356140331268"/>
    <n v="999882036567477"/>
    <s v="Fechado|已关闭"/>
    <s v="[LATAM] Delivery progress enquiry"/>
    <s v="2026-09-15 07:26:14"/>
    <x v="16"/>
    <s v="SPN"/>
    <s v="2026-09-15 08:53:10"/>
    <x v="1"/>
  </r>
  <r>
    <s v="5357091030788"/>
    <n v="999881992256868"/>
    <s v="Processamento concluído|处理完成"/>
    <s v="[LATAM] Delivery progress enquiry"/>
    <s v="2026-09-15 07:29:28"/>
    <x v="17"/>
    <s v="SPN"/>
    <n v="0"/>
    <x v="0"/>
  </r>
  <r>
    <s v="5357998835972"/>
    <n v="999881961927399"/>
    <s v="Fechado|已关闭"/>
    <s v="[LATAM] Delivery progress enquiry"/>
    <s v="2026-09-15 07:37:00"/>
    <x v="8"/>
    <s v="SPN"/>
    <s v="2026-09-15 12:41:22"/>
    <x v="1"/>
  </r>
  <r>
    <s v="5356868188164"/>
    <n v="999881911512043"/>
    <s v="Fechado|已关闭"/>
    <s v="[LATAM] Delivery progress enquiry"/>
    <s v="2026-09-15 07:37:21"/>
    <x v="2"/>
    <s v="SPN"/>
    <n v="0"/>
    <x v="0"/>
  </r>
  <r>
    <s v="5357667031812"/>
    <n v="999881968421395"/>
    <s v="Fechado|已关闭"/>
    <s v="[LATAM] Delivery progress enquiry"/>
    <s v="2026-09-15 07:46:45"/>
    <x v="13"/>
    <s v="SPN"/>
    <s v="2026-09-15 10:16:16"/>
    <x v="1"/>
  </r>
  <r>
    <s v="5357770777860"/>
    <n v="999881992204107"/>
    <s v="Fechado|已关闭"/>
    <s v="[LATAM] Delivery progress enquiry"/>
    <s v="2026-09-15 07:58:56"/>
    <x v="18"/>
    <s v="SPN"/>
    <s v="2026-09-15 14:27:03"/>
    <x v="1"/>
  </r>
  <r>
    <s v="5357672201220"/>
    <n v="999882023838380"/>
    <s v="Fechado|已关闭"/>
    <s v="[LATAM] Delivery progress enquiry"/>
    <s v="2026-09-15 08:04:40"/>
    <x v="19"/>
    <s v="SPN"/>
    <s v="2026-09-15 14:32:31"/>
    <x v="1"/>
  </r>
  <r>
    <s v="5358373841668"/>
    <n v="999881948436729"/>
    <s v="Fechado|已关闭"/>
    <s v="[LATAM] Delivery progress enquiry"/>
    <s v="2026-09-15 08:05:25"/>
    <x v="20"/>
    <s v="SPN"/>
    <s v="2026-09-15 13:36:29"/>
    <x v="1"/>
  </r>
  <r>
    <s v="5357692568580"/>
    <n v="999881974144161"/>
    <s v="Fechado|已关闭"/>
    <s v="[LATAM] Delivery progress enquiry"/>
    <s v="2026-09-15 08:09:17"/>
    <x v="21"/>
    <s v="SPN"/>
    <s v="2026-09-15 13:39:14"/>
    <x v="1"/>
  </r>
  <r>
    <s v="5356228612612"/>
    <n v="999881998533227"/>
    <s v="Fechado|已关闭"/>
    <s v="[LATAM] Delivery progress enquiry"/>
    <s v="2026-09-15 08:10:22"/>
    <x v="11"/>
    <s v="SPN"/>
    <s v="2026-09-15 08:18:18"/>
    <x v="1"/>
  </r>
  <r>
    <s v="5358042965764"/>
    <n v="999882036498472"/>
    <s v="Fechado|已关闭"/>
    <s v="[LATAM] Delivery progress enquiry"/>
    <s v="2026-09-15 08:13:47"/>
    <x v="22"/>
    <s v="SPN"/>
    <s v="2026-09-15 16:01:12"/>
    <x v="1"/>
  </r>
  <r>
    <s v="5357595866884"/>
    <n v="999882004246447"/>
    <s v="Fechado|已关闭"/>
    <s v="[LATAM] Delivery progress enquiry"/>
    <s v="2026-09-15 08:17:13"/>
    <x v="23"/>
    <s v="SPN"/>
    <n v="0"/>
    <x v="0"/>
  </r>
  <r>
    <s v="5357411547652"/>
    <n v="999882003387435"/>
    <s v="Fechado|已关闭"/>
    <s v="[LATAM] Delivery progress enquiry"/>
    <s v="2026-09-15 08:18:00"/>
    <x v="24"/>
    <s v="SPN"/>
    <n v="0"/>
    <x v="0"/>
  </r>
  <r>
    <s v="5357840329476"/>
    <n v="999881970497597"/>
    <s v="Fechado|已关闭"/>
    <s v="[LATAM] Delivery progress enquiry"/>
    <s v="2026-09-15 08:18:18"/>
    <x v="25"/>
    <s v="SPN"/>
    <s v="2026-09-15 22:46:52"/>
    <x v="1"/>
  </r>
  <r>
    <s v="5357322255876"/>
    <n v="999882016954345"/>
    <s v="Fechado|已关闭"/>
    <s v="[LATAM] Delivery progress enquiry"/>
    <s v="2026-09-15 08:26:52"/>
    <x v="26"/>
    <s v="SPN"/>
    <s v="2026-09-15 18:16:45"/>
    <x v="1"/>
  </r>
  <r>
    <s v="5356229670148"/>
    <n v="999881985036628"/>
    <s v="Fechado|已关闭"/>
    <s v="[LATAM] Delivery progress enquiry"/>
    <s v="2026-09-15 08:27:20"/>
    <x v="21"/>
    <s v="SPN"/>
    <s v="2026-09-15 14:00:24"/>
    <x v="1"/>
  </r>
  <r>
    <s v="5357391028484"/>
    <n v="999882009036025"/>
    <s v="Fechado|已关闭"/>
    <s v="[LATAM] Delivery progress enquiry"/>
    <s v="2026-09-15 08:27:53"/>
    <x v="14"/>
    <s v="SPN"/>
    <n v="0"/>
    <x v="0"/>
  </r>
  <r>
    <s v="5358380759556"/>
    <n v="999881943227091"/>
    <s v="Fechado|已关闭"/>
    <s v="[LATAM] Delivery progress enquiry"/>
    <s v="2026-09-15 08:27:55"/>
    <x v="4"/>
    <s v="SPN"/>
    <s v="2026-09-15 18:00:19"/>
    <x v="1"/>
  </r>
  <r>
    <s v="5357693078020"/>
    <n v="999882006490953"/>
    <s v="Fechado|已关闭"/>
    <s v="[LATAM] Delivery progress enquiry"/>
    <s v="2026-09-15 08:28:42"/>
    <x v="27"/>
    <s v="SPN"/>
    <n v="0"/>
    <x v="0"/>
  </r>
  <r>
    <s v="5358661821188"/>
    <n v="999882020716007"/>
    <s v="Fechado|已关闭"/>
    <s v="[LATAM] Delivery progress enquiry"/>
    <s v="2026-09-15 08:33:45"/>
    <x v="12"/>
    <s v="SPN"/>
    <s v="2026-09-15 09:51:34"/>
    <x v="1"/>
  </r>
  <r>
    <s v="5358388779012"/>
    <n v="999882011459929"/>
    <s v="Processamento concluído|处理完成"/>
    <s v="[LATAM] Delivery progress enquiry"/>
    <s v="2026-09-15 08:36:03"/>
    <x v="24"/>
    <s v="SPN"/>
    <n v="0"/>
    <x v="0"/>
  </r>
  <r>
    <s v="5356230057732"/>
    <n v="999882026171306"/>
    <s v="Fechado|已关闭"/>
    <s v="[LATAM] Delivery progress enquiry"/>
    <s v="2026-09-15 08:36:29"/>
    <x v="27"/>
    <s v="SPN"/>
    <s v="2026-09-15 18:35:54"/>
    <x v="1"/>
  </r>
  <r>
    <s v="5357391319044"/>
    <n v="999881961884985"/>
    <s v="Fechado|已关闭"/>
    <s v="[LATAM] Delivery progress enquiry"/>
    <s v="2026-09-15 08:38:20"/>
    <x v="28"/>
    <s v="SPN"/>
    <s v="2026-09-15 16:38:11"/>
    <x v="1"/>
  </r>
  <r>
    <s v="5357845274628"/>
    <n v="999881991555955"/>
    <s v="Fechado|已关闭"/>
    <s v="[LATAM] Delivery progress enquiry"/>
    <s v="2026-09-15 08:38:48"/>
    <x v="10"/>
    <s v="SPN"/>
    <s v="2026-09-15 14:04:03"/>
    <x v="1"/>
  </r>
  <r>
    <s v="5357329152260"/>
    <n v="999882007443296"/>
    <s v="Processamento concluído|处理完成"/>
    <s v="[LATAM] Delivery progress enquiry"/>
    <s v="2026-09-15 08:41:36"/>
    <x v="13"/>
    <s v="SPN"/>
    <n v="0"/>
    <x v="0"/>
  </r>
  <r>
    <s v="5356245618948"/>
    <n v="999882005396685"/>
    <s v="Fechado|已关闭"/>
    <s v="[LATAM] Delivery progress enquiry"/>
    <s v="2026-09-15 08:41:49"/>
    <x v="29"/>
    <s v="SPN"/>
    <n v="0"/>
    <x v="0"/>
  </r>
  <r>
    <s v="5357606110980"/>
    <n v="999882000477129"/>
    <s v="Fechado|已关闭"/>
    <s v="[LATAM] Delivery progress enquiry"/>
    <s v="2026-09-15 08:51:14"/>
    <x v="22"/>
    <s v="SPN"/>
    <s v="2026-09-15 15:46:57"/>
    <x v="1"/>
  </r>
  <r>
    <s v="5358564795140"/>
    <n v="999881943542516"/>
    <s v="Fechado|已关闭"/>
    <s v="[LATAM] Delivery progress enquiry"/>
    <s v="2026-09-15 08:52:59"/>
    <x v="30"/>
    <s v="SPN"/>
    <s v="2026-09-15 13:19:56"/>
    <x v="1"/>
  </r>
  <r>
    <s v="5358479008004"/>
    <n v="999882047075544"/>
    <s v="Processamento concluído|处理完成"/>
    <s v="[LATAM] Delivery progress enquiry"/>
    <s v="2026-09-15 08:56:19"/>
    <x v="0"/>
    <s v="SPN"/>
    <s v="2026-09-16 11:05:56"/>
    <x v="1"/>
  </r>
  <r>
    <s v="5357322103300"/>
    <n v="999881983936915"/>
    <s v="Fechado|已关闭"/>
    <s v="[LATAM] Delivery progress enquiry"/>
    <s v="2026-09-15 08:58:53"/>
    <x v="31"/>
    <s v="SPN"/>
    <s v="2026-09-15 17:13:27"/>
    <x v="1"/>
  </r>
  <r>
    <s v="5357845951492"/>
    <n v="999882010874475"/>
    <s v="Fechado|已关闭"/>
    <s v="[LATAM] Delivery progress enquiry"/>
    <s v="2026-09-15 09:00:35"/>
    <x v="32"/>
    <s v="SPN"/>
    <s v="2026-09-15 14:10:19"/>
    <x v="1"/>
  </r>
  <r>
    <s v="5357347240452"/>
    <n v="999881956520940"/>
    <s v="Fechado|已关闭"/>
    <s v="[LATAM] Delivery progress enquiry"/>
    <s v="2026-09-15 09:04:37"/>
    <x v="3"/>
    <s v="SPN"/>
    <s v="2026-09-15 12:21:39"/>
    <x v="1"/>
  </r>
  <r>
    <s v="5358576494084"/>
    <n v="999882045216961"/>
    <s v="Fechado|已关闭"/>
    <s v="[LATAM] Delivery progress enquiry"/>
    <s v="2026-09-15 09:06:50"/>
    <x v="33"/>
    <s v="SPN"/>
    <s v="2026-09-15 12:34:43"/>
    <x v="1"/>
  </r>
  <r>
    <s v="5357323767044"/>
    <n v="999881984811348"/>
    <s v="Fechado|已关闭"/>
    <s v="[LATAM] Delivery progress enquiry"/>
    <s v="2026-09-15 09:09:19"/>
    <x v="25"/>
    <s v="SPN"/>
    <s v="2026-09-15 13:32:10"/>
    <x v="1"/>
  </r>
  <r>
    <s v="5358929142276"/>
    <n v="999882020545489"/>
    <s v="Fechado|已关闭"/>
    <s v="[LATAM] Delivery progress enquiry"/>
    <s v="2026-09-15 09:10:11"/>
    <x v="11"/>
    <s v="SPN"/>
    <s v="2026-09-15 12:55:02"/>
    <x v="1"/>
  </r>
  <r>
    <s v="5357345561604"/>
    <n v="999882000647735"/>
    <s v="Fechado|已关闭"/>
    <s v="[LATAM] Delivery progress enquiry"/>
    <s v="2026-09-15 09:13:00"/>
    <x v="9"/>
    <s v="SPN"/>
    <s v="2026-09-15 10:54:30"/>
    <x v="1"/>
  </r>
  <r>
    <s v="5358930943492"/>
    <n v="999882076431511"/>
    <s v="Fechado|已关闭"/>
    <s v="[LATAM] Delivery progress enquiry"/>
    <s v="2026-09-15 09:13:07"/>
    <x v="34"/>
    <s v="SPN"/>
    <s v="2026-09-15 11:11:37"/>
    <x v="1"/>
  </r>
  <r>
    <s v="5357164950788"/>
    <n v="999882045452873"/>
    <s v="Fechado|已关闭"/>
    <s v="[LATAM] Delivery progress enquiry"/>
    <s v="2026-09-15 09:14:36"/>
    <x v="35"/>
    <s v="SPN"/>
    <s v="2026-09-15 11:37:49"/>
    <x v="1"/>
  </r>
  <r>
    <s v="5358235231492"/>
    <n v="999881989659667"/>
    <s v="Processamento concluído|处理完成"/>
    <s v="[LATAM] Delivery progress enquiry"/>
    <s v="2026-09-15 09:14:40"/>
    <x v="12"/>
    <s v="SPN"/>
    <n v="0"/>
    <x v="0"/>
  </r>
  <r>
    <s v="5358515808260"/>
    <n v="999881952584865"/>
    <s v="Fechado|已关闭"/>
    <s v="[LATAM] Delivery progress enquiry"/>
    <s v="2026-09-15 09:17:50"/>
    <x v="11"/>
    <s v="SPN"/>
    <n v="0"/>
    <x v="0"/>
  </r>
  <r>
    <s v="5357165160452"/>
    <n v="999882024973431"/>
    <s v="Fechado|已关闭"/>
    <s v="[LATAM] Delivery progress enquiry"/>
    <s v="2026-09-15 09:19:59"/>
    <x v="11"/>
    <s v="SPN"/>
    <s v="2026-09-15 14:54:08"/>
    <x v="1"/>
  </r>
  <r>
    <s v="5358485794820"/>
    <n v="999882009571619"/>
    <s v="Fechado|已关闭"/>
    <s v="[LATAM] Delivery progress enquiry"/>
    <s v="2026-09-15 09:20:00"/>
    <x v="36"/>
    <s v="SPN"/>
    <s v="2026-09-15 10:58:30"/>
    <x v="1"/>
  </r>
  <r>
    <s v="5358236503812"/>
    <n v="999882012425035"/>
    <s v="Fechado|已关闭"/>
    <s v="[LATAM] Delivery progress enquiry"/>
    <s v="2026-09-15 09:21:37"/>
    <x v="37"/>
    <s v="SPN"/>
    <s v="2026-09-15 14:59:53"/>
    <x v="1"/>
  </r>
  <r>
    <s v="5358515998724"/>
    <n v="999881959622034"/>
    <s v="Fechado|已关闭"/>
    <s v="[LATAM] Delivery progress enquiry"/>
    <s v="2026-09-15 09:23:24"/>
    <x v="3"/>
    <s v="SPN"/>
    <s v="2026-09-15 11:33:27"/>
    <x v="1"/>
  </r>
  <r>
    <s v="5358405418244"/>
    <n v="999882036912995"/>
    <s v="Fechado|已关闭"/>
    <s v="[LATAM] Delivery progress enquiry"/>
    <s v="2026-09-15 09:27:13"/>
    <x v="38"/>
    <s v="SPN"/>
    <s v="2026-09-15 15:15:32"/>
    <x v="1"/>
  </r>
  <r>
    <s v="5359568041988"/>
    <n v="999881979721674"/>
    <s v="Fechado|已关闭"/>
    <s v="[LATAM] Delivery progress enquiry"/>
    <s v="2026-09-15 09:28:59"/>
    <x v="39"/>
    <s v="SPN"/>
    <s v="2026-09-15 16:31:57"/>
    <x v="1"/>
  </r>
  <r>
    <s v="5358688971012"/>
    <n v="999882044954551"/>
    <s v="Fechado|已关闭"/>
    <s v="[LATAM] Delivery progress enquiry"/>
    <s v="2026-09-15 09:35:08"/>
    <x v="7"/>
    <s v="SPN"/>
    <s v="2026-09-15 09:52:47"/>
    <x v="1"/>
  </r>
  <r>
    <s v="5358405863940"/>
    <n v="999882031852207"/>
    <s v="Fechado|已关闭"/>
    <s v="[LATAM] Delivery progress enquiry"/>
    <s v="2026-09-15 09:37:53"/>
    <x v="40"/>
    <s v="SPN"/>
    <s v="2026-09-15 17:21:28"/>
    <x v="1"/>
  </r>
  <r>
    <s v="5358076715012"/>
    <n v="999881943740521"/>
    <s v="Fechado|已关闭"/>
    <s v="[LATAM] Delivery progress enquiry"/>
    <s v="2026-09-15 09:38:08"/>
    <x v="6"/>
    <s v="SPN"/>
    <s v="2026-09-15 09:34:11"/>
    <x v="1"/>
  </r>
  <r>
    <s v="5358837930244"/>
    <n v="999882033085770"/>
    <s v="Fechado|已关闭"/>
    <s v="[LATAM] Delivery progress enquiry"/>
    <s v="2026-09-15 09:39:11"/>
    <x v="3"/>
    <s v="SPN"/>
    <s v="2026-09-15 15:07:12"/>
    <x v="1"/>
  </r>
  <r>
    <s v="5359480984324"/>
    <n v="999882030490650"/>
    <s v="Processamento concluído|处理完成"/>
    <s v="[LATAM] Delivery progress enquiry"/>
    <s v="2026-09-15 09:42:45"/>
    <x v="41"/>
    <s v="SPN"/>
    <s v="2026-09-16 09:31:31"/>
    <x v="1"/>
  </r>
  <r>
    <s v="5357798260996"/>
    <n v="999881994243279"/>
    <s v="Fechado|已关闭"/>
    <s v="[LATAM] Delivery progress enquiry"/>
    <s v="2026-09-15 09:43:19"/>
    <x v="37"/>
    <s v="SPN"/>
    <s v="2026-09-15 12:16:12"/>
    <x v="1"/>
  </r>
  <r>
    <s v="5359571128068"/>
    <n v="999882029579336"/>
    <s v="Fechado|已关闭"/>
    <s v="[LATAM] Delivery progress enquiry"/>
    <s v="2026-09-15 09:44:54"/>
    <x v="9"/>
    <s v="SPN"/>
    <s v="2026-09-15 09:53:38"/>
    <x v="1"/>
  </r>
  <r>
    <s v="5358077169412"/>
    <n v="999882004338146"/>
    <s v="Fechado|已关闭"/>
    <s v="[LATAM] Delivery progress enquiry"/>
    <s v="2026-09-15 09:47:36"/>
    <x v="11"/>
    <s v="SPN"/>
    <s v="2026-09-15 18:40:13"/>
    <x v="1"/>
  </r>
  <r>
    <s v="5359571349764"/>
    <n v="999882027425835"/>
    <s v="Fechado|已关闭"/>
    <s v="[LATAM] Delivery progress enquiry"/>
    <s v="2026-09-15 09:53:46"/>
    <x v="1"/>
    <s v="SPN"/>
    <s v="2026-09-15 16:35:12"/>
    <x v="1"/>
  </r>
  <r>
    <s v="5359571355652"/>
    <n v="999882015204164"/>
    <s v="Fechado|已关闭"/>
    <s v="[LATAM] Delivery progress enquiry"/>
    <s v="2026-09-15 09:53:59"/>
    <x v="42"/>
    <s v="SPN"/>
    <s v="2026-09-15 20:58:09"/>
    <x v="1"/>
  </r>
  <r>
    <s v="5360303827716"/>
    <n v="999882011560317"/>
    <s v="Fechado|已关闭"/>
    <s v="[LATAM] Delivery progress enquiry"/>
    <s v="2026-09-15 09:54:47"/>
    <x v="42"/>
    <s v="SPN"/>
    <s v="2026-09-15 20:58:09"/>
    <x v="1"/>
  </r>
  <r>
    <s v="5359667898628"/>
    <n v="999882018195386"/>
    <s v="Fechado|已关闭"/>
    <s v="[LATAM] Delivery progress enquiry"/>
    <s v="2026-09-15 09:55:31"/>
    <x v="42"/>
    <s v="SPN"/>
    <s v="2026-09-15 20:58:09"/>
    <x v="1"/>
  </r>
  <r>
    <s v="5358271841284"/>
    <n v="999882007151450"/>
    <s v="Fechado|已关闭"/>
    <s v="[LATAM] Delivery progress enquiry"/>
    <s v="2026-09-15 09:56:17"/>
    <x v="42"/>
    <s v="SPN"/>
    <s v="2026-09-15 15:11:56"/>
    <x v="1"/>
  </r>
  <r>
    <s v="5359668137732"/>
    <n v="999882045639390"/>
    <s v="Fechado|已关闭"/>
    <s v="[LATAM] Delivery progress enquiry"/>
    <s v="2026-09-15 10:02:52"/>
    <x v="24"/>
    <s v="SPN"/>
    <s v="2026-09-15 10:48:25"/>
    <x v="1"/>
  </r>
  <r>
    <s v="5358867594756"/>
    <n v="999882036359524"/>
    <s v="Processamento concluído|处理完成"/>
    <s v="[LATAM] Delivery progress enquiry"/>
    <s v="2026-09-15 10:07:35"/>
    <x v="5"/>
    <s v="SPN"/>
    <n v="0"/>
    <x v="0"/>
  </r>
  <r>
    <s v="5359481845508"/>
    <n v="999882047243618"/>
    <s v="Fechado|已关闭"/>
    <s v="[LATAM] Delivery progress enquiry"/>
    <s v="2026-09-15 10:09:24"/>
    <x v="43"/>
    <s v="SPN"/>
    <s v="2026-09-15 13:18:33"/>
    <x v="1"/>
  </r>
  <r>
    <s v="5358867755780"/>
    <n v="999882000736174"/>
    <s v="Processamento concluído|处理完成"/>
    <s v="[LATAM] Delivery progress enquiry"/>
    <s v="2026-09-15 10:11:15"/>
    <x v="38"/>
    <s v="SPN"/>
    <n v="0"/>
    <x v="0"/>
  </r>
  <r>
    <s v="5358860381956"/>
    <n v="999882028379935"/>
    <s v="Fechado|已关闭"/>
    <s v="[LATAM] Delivery progress enquiry"/>
    <s v="2026-09-15 10:13:28"/>
    <x v="44"/>
    <s v="SPN"/>
    <s v="2026-09-15 13:19:44"/>
    <x v="1"/>
  </r>
  <r>
    <s v="5358717409540"/>
    <n v="999881939285292"/>
    <s v="Fechado|已关闭"/>
    <s v="[LATAM] Delivery progress enquiry"/>
    <s v="2026-09-15 10:14:25"/>
    <x v="3"/>
    <s v="SPN"/>
    <s v="2026-09-15 10:46:31"/>
    <x v="1"/>
  </r>
  <r>
    <s v="5358867896580"/>
    <n v="999882012059861"/>
    <s v="Fechado|已关闭"/>
    <s v="[LATAM] Delivery progress enquiry"/>
    <s v="2026-09-15 10:14:35"/>
    <x v="45"/>
    <s v="SPN"/>
    <s v="2026-09-15 11:55:42"/>
    <x v="1"/>
  </r>
  <r>
    <s v="5359843624196"/>
    <n v="999882035453195"/>
    <s v="Fechado|已关闭"/>
    <s v="[LATAM] Delivery progress enquiry"/>
    <s v="2026-09-15 10:14:37"/>
    <x v="26"/>
    <s v="SPN"/>
    <s v="2026-09-15 14:41:17"/>
    <x v="1"/>
  </r>
  <r>
    <s v="5359846451204"/>
    <n v="999881943675297"/>
    <s v="Fechado|已关闭"/>
    <s v="[LATAM] Delivery progress enquiry"/>
    <s v="2026-09-15 10:16:43"/>
    <x v="26"/>
    <s v="SPN"/>
    <s v="2026-09-15 13:02:30"/>
    <x v="1"/>
  </r>
  <r>
    <s v="5360304513796"/>
    <n v="999882033667829"/>
    <s v="Processamento concluído|处理完成"/>
    <s v="[LATAM] Delivery progress enquiry"/>
    <s v="2026-09-15 10:17:02"/>
    <x v="5"/>
    <s v="SPN"/>
    <n v="0"/>
    <x v="0"/>
  </r>
  <r>
    <s v="5358615056900"/>
    <n v="999881968345334"/>
    <s v="Fechado|已关闭"/>
    <s v="[LATAM] Delivery progress enquiry"/>
    <s v="2026-09-15 10:17:51"/>
    <x v="46"/>
    <s v="SPN"/>
    <s v="2026-09-15 11:52:42"/>
    <x v="1"/>
  </r>
  <r>
    <s v="5360304716036"/>
    <n v="999882014809624"/>
    <s v="Fechado|已关闭"/>
    <s v="[LATAM] Delivery progress enquiry"/>
    <s v="2026-09-15 10:23:16"/>
    <x v="16"/>
    <s v="SPN"/>
    <s v="2026-09-15 16:03:35"/>
    <x v="1"/>
  </r>
  <r>
    <s v="5359844055556"/>
    <n v="999882013809446"/>
    <s v="Fechado|已关闭"/>
    <s v="[LATAM] Delivery progress enquiry"/>
    <s v="2026-09-15 10:25:20"/>
    <x v="47"/>
    <s v="SPN"/>
    <s v="2026-09-15 22:22:55"/>
    <x v="1"/>
  </r>
  <r>
    <s v="5359496598788"/>
    <n v="999881961767494"/>
    <s v="Fechado|已关闭"/>
    <s v="[LATAM] Delivery progress enquiry"/>
    <s v="2026-09-15 10:31:10"/>
    <x v="48"/>
    <s v="SPN"/>
    <s v="2026-09-15 19:17:12"/>
    <x v="1"/>
  </r>
  <r>
    <s v="5358272998660"/>
    <n v="999881983781292"/>
    <s v="Fechado|已关闭"/>
    <s v="[LATAM] Delivery progress enquiry"/>
    <s v="2026-09-15 10:32:32"/>
    <x v="49"/>
    <s v="SPN"/>
    <s v="2026-09-15 11:29:48"/>
    <x v="1"/>
  </r>
  <r>
    <s v="5358868718596"/>
    <n v="999881965038575"/>
    <s v="Fechado|已关闭"/>
    <s v="[LATAM] Delivery progress enquiry"/>
    <s v="2026-09-15 10:33:41"/>
    <x v="49"/>
    <s v="SPN"/>
    <s v="2026-09-15 11:29:48"/>
    <x v="1"/>
  </r>
  <r>
    <s v="5358970905604"/>
    <n v="999882037639259"/>
    <s v="Fechado|已关闭"/>
    <s v="[LATAM] Delivery progress enquiry"/>
    <s v="2026-09-15 10:33:59"/>
    <x v="8"/>
    <s v="SPN"/>
    <s v="2026-09-15 14:27:53"/>
    <x v="1"/>
  </r>
  <r>
    <s v="5358419761156"/>
    <n v="999881980926236"/>
    <s v="Fechado|已关闭"/>
    <s v="[LATAM] Delivery progress enquiry"/>
    <s v="2026-09-15 10:34:32"/>
    <x v="49"/>
    <s v="SPN"/>
    <s v="2026-09-15 11:29:48"/>
    <x v="1"/>
  </r>
  <r>
    <s v="5359573825284"/>
    <n v="999881965818385"/>
    <s v="Fechado|已关闭"/>
    <s v="[LATAM] Delivery progress enquiry"/>
    <s v="2026-09-15 10:36:57"/>
    <x v="38"/>
    <s v="SPN"/>
    <s v="2026-09-15 15:39:40"/>
    <x v="1"/>
  </r>
  <r>
    <s v="5359847389700"/>
    <n v="999882001952231"/>
    <s v="Fechado|已关闭"/>
    <s v="[LATAM] Delivery progress enquiry"/>
    <s v="2026-09-15 10:38:09"/>
    <x v="8"/>
    <s v="SPN"/>
    <s v="2026-09-15 11:15:05"/>
    <x v="1"/>
  </r>
  <r>
    <s v="5359845308164"/>
    <n v="999881944336475"/>
    <s v="Fechado|已关闭"/>
    <s v="[LATAM] Delivery progress enquiry"/>
    <s v="2026-09-15 10:38:23"/>
    <x v="50"/>
    <s v="SPN"/>
    <s v="2026-09-15 15:14:55"/>
    <x v="1"/>
  </r>
  <r>
    <s v="5359570823172"/>
    <n v="999882021600430"/>
    <s v="Fechado|已关闭"/>
    <s v="[LATAM] Delivery progress enquiry"/>
    <s v="2026-09-15 10:39:06"/>
    <x v="8"/>
    <s v="SPN"/>
    <s v="2026-09-15 11:15:05"/>
    <x v="1"/>
  </r>
  <r>
    <s v="5360412887812"/>
    <n v="999882008503755"/>
    <s v="Fechado|已关闭"/>
    <s v="[LATAM] Delivery progress enquiry"/>
    <s v="2026-09-15 10:39:39"/>
    <x v="11"/>
    <s v="SPN"/>
    <s v="2026-09-15 20:02:54"/>
    <x v="1"/>
  </r>
  <r>
    <s v="5359858612740"/>
    <n v="999881934789454"/>
    <s v="Processamento concluído|处理完成"/>
    <s v="[LATAM] Delivery progress enquiry"/>
    <s v="2026-09-15 10:42:19"/>
    <x v="51"/>
    <s v="SPN"/>
    <n v="0"/>
    <x v="0"/>
  </r>
  <r>
    <s v="5358725153284"/>
    <n v="999882039635564"/>
    <s v="Fechado|已关闭"/>
    <s v="[LATAM] Delivery progress enquiry"/>
    <s v="2026-09-15 10:43:20"/>
    <x v="52"/>
    <s v="SPN"/>
    <s v="2026-09-15 10:57:12"/>
    <x v="1"/>
  </r>
  <r>
    <s v="5359864547076"/>
    <n v="999882010752179"/>
    <s v="Fechado|已关闭"/>
    <s v="[LATAM] Delivery progress enquiry"/>
    <s v="2026-09-15 10:46:13"/>
    <x v="34"/>
    <s v="SPN"/>
    <s v="2026-09-15 11:10:30"/>
    <x v="1"/>
  </r>
  <r>
    <s v="5359858931972"/>
    <n v="999881965896521"/>
    <s v="Fechado|已关闭"/>
    <s v="[LATAM] Delivery progress enquiry"/>
    <s v="2026-09-15 10:50:38"/>
    <x v="26"/>
    <s v="SPN"/>
    <s v="2026-09-15 19:41:06"/>
    <x v="1"/>
  </r>
  <r>
    <s v="5359151654660"/>
    <n v="999882044753212"/>
    <s v="Fechado|已关闭"/>
    <s v="[LATAM] Delivery progress enquiry"/>
    <s v="2026-09-15 10:51:04"/>
    <x v="53"/>
    <s v="SPN"/>
    <s v="2026-09-15 10:53:39"/>
    <x v="1"/>
  </r>
  <r>
    <s v="5359858955268"/>
    <n v="999881991216841"/>
    <s v="Fechado|已关闭"/>
    <s v="[LATAM] Delivery progress enquiry"/>
    <s v="2026-09-15 10:51:15"/>
    <x v="11"/>
    <s v="SPN"/>
    <s v="2026-09-15 16:03:30"/>
    <x v="1"/>
  </r>
  <r>
    <s v="5359769891588"/>
    <n v="999882028862925"/>
    <s v="Fechado|已关闭"/>
    <s v="[LATAM] Delivery progress enquiry"/>
    <s v="2026-09-15 10:54:15"/>
    <x v="2"/>
    <s v="SPN"/>
    <n v="0"/>
    <x v="0"/>
  </r>
  <r>
    <s v="5359684928772"/>
    <n v="999882065583835"/>
    <s v="Fechado|已关闭"/>
    <s v="[LATAM] Delivery progress enquiry"/>
    <s v="2026-09-15 10:54:26"/>
    <x v="2"/>
    <s v="SPN"/>
    <s v="2026-09-15 14:45:32"/>
    <x v="1"/>
  </r>
  <r>
    <s v="5359584492292"/>
    <n v="999882020487568"/>
    <s v="Fechado|已关闭"/>
    <s v="[LATAM] Delivery progress enquiry"/>
    <s v="2026-09-15 10:57:34"/>
    <x v="24"/>
    <s v="SPN"/>
    <s v="2026-09-15 14:23:41"/>
    <x v="1"/>
  </r>
  <r>
    <s v="5359146252804"/>
    <n v="999882021899542"/>
    <s v="Fechado|已关闭"/>
    <s v="[LATAM] Delivery progress enquiry"/>
    <s v="2026-09-15 11:00:07"/>
    <x v="27"/>
    <s v="SPN"/>
    <s v="2026-09-15 13:09:08"/>
    <x v="1"/>
  </r>
  <r>
    <s v="5358990581764"/>
    <n v="999882006747388"/>
    <s v="Fechado|已关闭"/>
    <s v="[LATAM] Delivery progress enquiry"/>
    <s v="2026-09-15 11:04:34"/>
    <x v="7"/>
    <s v="SPN"/>
    <s v="2026-09-15 11:55:49"/>
    <x v="1"/>
  </r>
  <r>
    <s v="5359584653572"/>
    <n v="999882033717716"/>
    <s v="Fechado|已关闭"/>
    <s v="[LATAM] Delivery progress enquiry"/>
    <s v="2026-09-15 11:05:02"/>
    <x v="24"/>
    <s v="SPN"/>
    <s v="2026-09-15 11:20:33"/>
    <x v="1"/>
  </r>
  <r>
    <s v="5359333310980"/>
    <n v="999882025543095"/>
    <s v="Fechado|已关闭"/>
    <s v="[LATAM] Delivery progress enquiry"/>
    <s v="2026-09-15 11:05:55"/>
    <x v="54"/>
    <s v="SPN"/>
    <s v="2026-09-15 12:16:27"/>
    <x v="1"/>
  </r>
  <r>
    <s v="5359612864516"/>
    <n v="999882024491730"/>
    <s v="Fechado|已关闭"/>
    <s v="[LATAM] Delivery progress enquiry"/>
    <s v="2026-09-15 11:06:11"/>
    <x v="11"/>
    <s v="SPN"/>
    <s v="2026-09-15 17:21:27"/>
    <x v="1"/>
  </r>
  <r>
    <s v="5358879108612"/>
    <n v="999882024606964"/>
    <s v="Fechado|已关闭"/>
    <s v="[LATAM] Delivery progress enquiry"/>
    <s v="2026-09-15 11:06:17"/>
    <x v="38"/>
    <s v="SPN"/>
    <s v="2026-09-15 15:48:12"/>
    <x v="1"/>
  </r>
  <r>
    <s v="5359864077316"/>
    <n v="999881984770154"/>
    <s v="Fechado|已关闭"/>
    <s v="[LATAM] Delivery progress enquiry"/>
    <s v="2026-09-15 11:10:28"/>
    <x v="55"/>
    <s v="SPN"/>
    <s v="2026-09-15 21:47:51"/>
    <x v="1"/>
  </r>
  <r>
    <s v="5359685453572"/>
    <n v="999881997001732"/>
    <s v="Fechado|已关闭"/>
    <s v="[LATAM] Delivery progress enquiry"/>
    <s v="2026-09-15 11:11:36"/>
    <x v="39"/>
    <s v="SPN"/>
    <s v="2026-09-15 15:37:22"/>
    <x v="1"/>
  </r>
  <r>
    <s v="5360103957508"/>
    <n v="999881974497682"/>
    <s v="Fechado|已关闭"/>
    <s v="[LATAM] Delivery progress enquiry"/>
    <s v="2026-09-15 11:15:20"/>
    <x v="19"/>
    <s v="SPN"/>
    <s v="2026-09-15 14:09:17"/>
    <x v="1"/>
  </r>
  <r>
    <s v="5359865804036"/>
    <n v="999882041019861"/>
    <s v="Fechado|已关闭"/>
    <s v="[LATAM] Delivery progress enquiry"/>
    <s v="2026-09-15 11:16:02"/>
    <x v="2"/>
    <s v="SPN"/>
    <s v="2026-09-15 15:38:37"/>
    <x v="1"/>
  </r>
  <r>
    <s v="5359703057668"/>
    <n v="999882030410508"/>
    <s v="Fechado|已关闭"/>
    <s v="[LATAM] Delivery progress enquiry"/>
    <s v="2026-09-15 11:16:28"/>
    <x v="12"/>
    <s v="SPN"/>
    <s v="2026-09-15 19:01:14"/>
    <x v="1"/>
  </r>
  <r>
    <s v="5358454330628"/>
    <n v="999882007542865"/>
    <s v="Processamento concluído|处理完成"/>
    <s v="[LATAM] Delivery progress enquiry"/>
    <s v="2026-09-15 11:18:25"/>
    <x v="4"/>
    <s v="SPN"/>
    <n v="0"/>
    <x v="0"/>
  </r>
  <r>
    <s v="5359530712580"/>
    <n v="999881949140572"/>
    <s v="Fechado|已关闭"/>
    <s v="[LATAM] Delivery progress enquiry"/>
    <s v="2026-09-15 11:19:36"/>
    <x v="27"/>
    <s v="SPN"/>
    <s v="2026-09-15 13:47:54"/>
    <x v="1"/>
  </r>
  <r>
    <s v="5358990958596"/>
    <n v="999881978853915"/>
    <s v="Fechado|已关闭"/>
    <s v="[LATAM] Delivery progress enquiry"/>
    <s v="2026-09-15 11:20:47"/>
    <x v="4"/>
    <s v="SPN"/>
    <s v="2026-09-15 19:25:16"/>
    <x v="1"/>
  </r>
  <r>
    <s v="5359333737988"/>
    <n v="999882031001674"/>
    <s v="Fechado|已关闭"/>
    <s v="[LATAM] Delivery progress enquiry"/>
    <s v="2026-09-15 11:25:03"/>
    <x v="38"/>
    <s v="SPN"/>
    <s v="2026-09-15 15:42:47"/>
    <x v="1"/>
  </r>
  <r>
    <s v="5358454656772"/>
    <n v="999882022525825"/>
    <s v="Fechado|已关闭"/>
    <s v="[LATAM] Delivery progress enquiry"/>
    <s v="2026-09-15 11:26:42"/>
    <x v="3"/>
    <s v="SPN"/>
    <s v="2026-09-15 11:28:29"/>
    <x v="1"/>
  </r>
  <r>
    <s v="5360049472772"/>
    <n v="999882036302676"/>
    <s v="Fechado|已关闭"/>
    <s v="[LATAM] Delivery progress enquiry"/>
    <s v="2026-09-15 11:32:48"/>
    <x v="40"/>
    <s v="SPN"/>
    <s v="2026-09-15 13:47:49"/>
    <x v="1"/>
  </r>
  <r>
    <s v="5360055740164"/>
    <n v="999882005060544"/>
    <s v="Fechado|已关闭"/>
    <s v="[LATAM] Delivery progress enquiry"/>
    <s v="2026-09-15 11:38:33"/>
    <x v="20"/>
    <s v="SPN"/>
    <s v="2026-09-15 17:18:58"/>
    <x v="1"/>
  </r>
  <r>
    <s v="5359153099012"/>
    <n v="999882009654055"/>
    <s v="Fechado|已关闭"/>
    <s v="[LATAM] Delivery progress enquiry"/>
    <s v="2026-09-15 11:46:37"/>
    <x v="20"/>
    <s v="SPN"/>
    <s v="2026-09-15 21:16:07"/>
    <x v="1"/>
  </r>
  <r>
    <s v="5358907678468"/>
    <n v="999882003358630"/>
    <s v="Fechado|已关闭"/>
    <s v="[LATAM] Delivery progress enquiry"/>
    <s v="2026-09-15 11:49:00"/>
    <x v="7"/>
    <s v="SPN"/>
    <s v="2026-09-15 12:57:35"/>
    <x v="1"/>
  </r>
  <r>
    <s v="5360671378692"/>
    <n v="999882008478629"/>
    <s v="Fechado|已关闭"/>
    <s v="[LATAM] Delivery progress enquiry"/>
    <s v="2026-09-15 11:49:55"/>
    <x v="27"/>
    <s v="SPN"/>
    <s v="2026-09-15 16:20:17"/>
    <x v="1"/>
  </r>
  <r>
    <s v="5359882809348"/>
    <n v="999881962804855"/>
    <s v="Processamento concluído|处理完成"/>
    <s v="[LATAM] Delivery progress enquiry"/>
    <s v="2026-09-15 11:50:08"/>
    <x v="2"/>
    <s v="SPN"/>
    <n v="0"/>
    <x v="0"/>
  </r>
  <r>
    <s v="5359169073156"/>
    <n v="999882030691063"/>
    <s v="Fechado|已关闭"/>
    <s v="[LATAM] Delivery progress enquiry"/>
    <s v="2026-09-15 11:50:33"/>
    <x v="45"/>
    <s v="SPN"/>
    <s v="2026-09-15 18:36:44"/>
    <x v="1"/>
  </r>
  <r>
    <s v="5359882839300"/>
    <n v="999882029399667"/>
    <s v="Fechado|已关闭"/>
    <s v="[LATAM] Delivery progress enquiry"/>
    <s v="2026-09-15 11:50:54"/>
    <x v="7"/>
    <s v="SPN"/>
    <s v="2026-09-15 12:57:35"/>
    <x v="1"/>
  </r>
  <r>
    <s v="5359876169988"/>
    <n v="999881974495246"/>
    <s v="Fechado|已关闭"/>
    <s v="[LATAM] Delivery progress enquiry"/>
    <s v="2026-09-15 11:59:11"/>
    <x v="3"/>
    <s v="SPN"/>
    <s v="2026-09-15 20:54:56"/>
    <x v="1"/>
  </r>
  <r>
    <s v="5358908048132"/>
    <n v="999881969691517"/>
    <s v="Fechado|已关闭"/>
    <s v="[LATAM] Delivery progress enquiry"/>
    <s v="2026-09-15 11:59:33"/>
    <x v="16"/>
    <s v="SPN"/>
    <s v="2026-09-15 14:18:13"/>
    <x v="1"/>
  </r>
  <r>
    <s v="5358900544772"/>
    <n v="999882031373290"/>
    <s v="Fechado|已关闭"/>
    <s v="[LATAM] Delivery progress enquiry"/>
    <s v="2026-09-15 12:06:08"/>
    <x v="56"/>
    <s v="SPN"/>
    <s v="2026-09-15 19:11:27"/>
    <x v="1"/>
  </r>
  <r>
    <s v="5360671773700"/>
    <n v="999881999941743"/>
    <s v="Fechado|已关闭"/>
    <s v="[LATAM] Delivery progress enquiry"/>
    <s v="2026-09-15 12:07:19"/>
    <x v="28"/>
    <s v="SPN"/>
    <s v="2026-09-15 19:36:28"/>
    <x v="1"/>
  </r>
  <r>
    <s v="5360232529924"/>
    <n v="999881966283633"/>
    <s v="Processamento concluído|处理完成"/>
    <s v="[LATAM] Delivery progress enquiry"/>
    <s v="2026-09-15 12:13:26"/>
    <x v="18"/>
    <s v="SPN"/>
    <n v="0"/>
    <x v="0"/>
  </r>
  <r>
    <s v="5359646951172"/>
    <n v="999881892579487"/>
    <s v="Processamento concluído|处理完成"/>
    <s v="[LATAM] Delivery progress enquiry"/>
    <s v="2026-09-15 12:14:38"/>
    <x v="3"/>
    <s v="SPN"/>
    <n v="0"/>
    <x v="0"/>
  </r>
  <r>
    <s v="5359719388164"/>
    <n v="999882030695993"/>
    <s v="Fechado|已关闭"/>
    <s v="[LATAM] Delivery progress enquiry"/>
    <s v="2026-09-15 12:19:29"/>
    <x v="14"/>
    <s v="SPN"/>
    <s v="2026-09-15 14:20:03"/>
    <x v="1"/>
  </r>
  <r>
    <s v="5359719409412"/>
    <n v="999881985309775"/>
    <s v="Fechado|已关闭"/>
    <s v="[LATAM] Delivery progress enquiry"/>
    <s v="2026-09-15 12:20:06"/>
    <x v="3"/>
    <s v="SPN"/>
    <s v="2026-09-15 20:16:58"/>
    <x v="1"/>
  </r>
  <r>
    <s v="5360377401604"/>
    <n v="999882008420775"/>
    <s v="Fechado|已关闭"/>
    <s v="[LATAM] Delivery progress enquiry"/>
    <s v="2026-09-15 12:20:24"/>
    <x v="26"/>
    <s v="SPN"/>
    <s v="2026-09-15 15:24:33"/>
    <x v="1"/>
  </r>
  <r>
    <s v="5358899515908"/>
    <n v="999881869887808"/>
    <s v="Processamento concluído|处理完成"/>
    <s v="[LATAM] Delivery progress enquiry"/>
    <s v="2026-09-15 12:29:37"/>
    <x v="21"/>
    <s v="SPN"/>
    <n v="0"/>
    <x v="0"/>
  </r>
  <r>
    <s v="5360377734916"/>
    <n v="999882011734483"/>
    <s v="Fechado|已关闭"/>
    <s v="[LATAM] Delivery progress enquiry"/>
    <s v="2026-09-15 12:31:30"/>
    <x v="21"/>
    <s v="SPN"/>
    <s v="2026-09-15 13:11:06"/>
    <x v="1"/>
  </r>
  <r>
    <s v="5359184525316"/>
    <n v="999881983993815"/>
    <s v="Fechado|已关闭"/>
    <s v="[LATAM] Delivery progress enquiry"/>
    <s v="2026-09-15 12:32:44"/>
    <x v="57"/>
    <s v="SPN"/>
    <s v="2026-09-15 14:51:46"/>
    <x v="1"/>
  </r>
  <r>
    <s v="5359535426820"/>
    <n v="999882035161470"/>
    <s v="Processamento concluído|处理完成"/>
    <s v="[LATAM] Delivery progress enquiry"/>
    <s v="2026-09-15 12:33:53"/>
    <x v="7"/>
    <s v="SPN"/>
    <n v="0"/>
    <x v="0"/>
  </r>
  <r>
    <s v="5361045625860"/>
    <n v="999882022327343"/>
    <s v="Fechado|已关闭"/>
    <s v="[LATAM] Delivery progress enquiry"/>
    <s v="2026-09-15 12:35:25"/>
    <x v="9"/>
    <s v="SPN"/>
    <s v="2026-09-15 17:57:43"/>
    <x v="1"/>
  </r>
  <r>
    <s v="5361045645572"/>
    <n v="999881951675101"/>
    <s v="Processamento concluído|处理完成"/>
    <s v="[LATAM] Delivery progress enquiry"/>
    <s v="2026-09-15 12:36:35"/>
    <x v="42"/>
    <s v="SPN"/>
    <n v="0"/>
    <x v="0"/>
  </r>
  <r>
    <s v="5359464868612"/>
    <n v="999881989849144"/>
    <s v="Fechado|已关闭"/>
    <s v="[LATAM] Delivery progress enquiry"/>
    <s v="2026-09-15 12:37:41"/>
    <x v="27"/>
    <s v="SPN"/>
    <s v="2026-09-15 17:22:31"/>
    <x v="1"/>
  </r>
  <r>
    <s v="5359655955204"/>
    <n v="999882004718529"/>
    <s v="Processamento concluído|处理完成"/>
    <s v="[LATAM] Delivery progress enquiry"/>
    <s v="2026-09-15 12:39:24"/>
    <x v="7"/>
    <s v="SPN"/>
    <n v="0"/>
    <x v="0"/>
  </r>
  <r>
    <s v="5359184789508"/>
    <n v="999882007367460"/>
    <s v="Fechado|已关闭"/>
    <s v="[LATAM] Delivery progress enquiry"/>
    <s v="2026-09-15 12:44:05"/>
    <x v="20"/>
    <s v="SPN"/>
    <s v="2026-09-15 14:31:57"/>
    <x v="1"/>
  </r>
  <r>
    <s v="5360378125828"/>
    <n v="999881950553291"/>
    <s v="Fechado|已关闭"/>
    <s v="[LATAM] Delivery progress enquiry"/>
    <s v="2026-09-15 12:49:04"/>
    <x v="50"/>
    <s v="SPN"/>
    <s v="2026-09-15 17:33:35"/>
    <x v="1"/>
  </r>
  <r>
    <s v="5361321129988"/>
    <n v="999882018195386"/>
    <s v="Fechado|已关闭"/>
    <s v="[LATAM] Delivery progress enquiry"/>
    <s v="2026-09-15 12:57:19"/>
    <x v="42"/>
    <s v="SPN"/>
    <s v="2026-09-15 20:58:09"/>
    <x v="1"/>
  </r>
  <r>
    <s v="5359562618116"/>
    <n v="999881948911681"/>
    <s v="Fechado|已关闭"/>
    <s v="[LATAM] Delivery progress enquiry"/>
    <s v="2026-09-15 13:00:30"/>
    <x v="2"/>
    <s v="SPN"/>
    <s v="2026-09-15 16:00:49"/>
    <x v="1"/>
  </r>
  <r>
    <s v="5360460001540"/>
    <n v="999882021155186"/>
    <s v="Fechado|已关闭"/>
    <s v="[LATAM] Delivery progress enquiry"/>
    <s v="2026-09-15 13:01:25"/>
    <x v="27"/>
    <s v="SPN"/>
    <n v="0"/>
    <x v="0"/>
  </r>
  <r>
    <s v="5360862661636"/>
    <n v="999882009020495"/>
    <s v="Fechado|已关闭"/>
    <s v="[LATAM] Delivery progress enquiry"/>
    <s v="2026-09-15 13:07:49"/>
    <x v="58"/>
    <s v="SPN"/>
    <s v="2026-09-15 14:02:19"/>
    <x v="1"/>
  </r>
  <r>
    <s v="5360382917892"/>
    <n v="999882016639389"/>
    <s v="Fechado|已关闭"/>
    <s v="[LATAM] Delivery progress enquiry"/>
    <s v="2026-09-15 13:11:26"/>
    <x v="30"/>
    <s v="SPN"/>
    <n v="0"/>
    <x v="0"/>
  </r>
  <r>
    <s v="5360718816516"/>
    <n v="999882014897832"/>
    <s v="Processamento concluído|处理完成"/>
    <s v="[LATAM] Delivery progress enquiry"/>
    <s v="2026-09-15 13:11:46"/>
    <x v="28"/>
    <s v="SPN"/>
    <n v="0"/>
    <x v="0"/>
  </r>
  <r>
    <s v="5360257002244"/>
    <n v="999881962522384"/>
    <s v="Processamento concluído|处理完成"/>
    <s v="[LATAM] Delivery progress enquiry"/>
    <s v="2026-09-15 13:18:45"/>
    <x v="41"/>
    <s v="SPN"/>
    <n v="0"/>
    <x v="0"/>
  </r>
  <r>
    <s v="5360714241284"/>
    <n v="999882031874811"/>
    <s v="Fechado|已关闭"/>
    <s v="[LATAM] Delivery progress enquiry"/>
    <s v="2026-09-15 13:23:55"/>
    <x v="19"/>
    <s v="SPN"/>
    <n v="0"/>
    <x v="0"/>
  </r>
  <r>
    <s v="5361778490884"/>
    <n v="999881991217017"/>
    <s v="Fechado|已关闭"/>
    <s v="[LATAM] Delivery progress enquiry"/>
    <s v="2026-09-15 13:25:39"/>
    <x v="2"/>
    <s v="SPN"/>
    <s v="2026-09-15 18:11:54"/>
    <x v="1"/>
  </r>
  <r>
    <s v="5361318500612"/>
    <n v="999881939034363"/>
    <s v="Processamento concluído|处理完成"/>
    <s v="[LATAM] Delivery progress enquiry"/>
    <s v="2026-09-15 13:28:30"/>
    <x v="0"/>
    <s v="SPN"/>
    <n v="0"/>
    <x v="0"/>
  </r>
  <r>
    <s v="5362007125252"/>
    <n v="999882036598136"/>
    <s v="Fechado|已关闭"/>
    <s v="[LATAM] Delivery progress enquiry"/>
    <s v="2026-09-15 13:39:01"/>
    <x v="59"/>
    <s v="SPN"/>
    <s v="2026-09-15 16:44:59"/>
    <x v="1"/>
  </r>
  <r>
    <s v="5361778826244"/>
    <n v="999882006207414"/>
    <s v="Fechado|已关闭"/>
    <s v="[LATAM] Delivery progress enquiry"/>
    <s v="2026-09-15 13:40:30"/>
    <x v="39"/>
    <s v="SPN"/>
    <s v="2026-09-15 17:42:48"/>
    <x v="1"/>
  </r>
  <r>
    <s v="5360961852164"/>
    <n v="999881993351254"/>
    <s v="Processamento concluído|处理完成"/>
    <s v="[LATAM] Delivery progress enquiry"/>
    <s v="2026-09-15 13:44:40"/>
    <x v="7"/>
    <s v="SPN"/>
    <n v="0"/>
    <x v="0"/>
  </r>
  <r>
    <s v="5360481470212"/>
    <n v="999882030062522"/>
    <s v="Fechado|已关闭"/>
    <s v="[LATAM] Delivery progress enquiry"/>
    <s v="2026-09-15 13:47:00"/>
    <x v="25"/>
    <s v="SPN"/>
    <s v="2026-09-15 16:48:48"/>
    <x v="1"/>
  </r>
  <r>
    <s v="5359735943428"/>
    <n v="999881998358288"/>
    <s v="Fechado|已关闭"/>
    <s v="[LATAM] Delivery progress enquiry"/>
    <s v="2026-09-15 13:48:14"/>
    <x v="27"/>
    <s v="SPN"/>
    <n v="0"/>
    <x v="0"/>
  </r>
  <r>
    <s v="5359735970052"/>
    <n v="999881946314315"/>
    <s v="Processamento concluído|处理完成"/>
    <s v="[LATAM] Delivery progress enquiry"/>
    <s v="2026-09-15 13:49:15"/>
    <x v="24"/>
    <s v="SPN"/>
    <n v="0"/>
    <x v="0"/>
  </r>
  <r>
    <s v="5359736103684"/>
    <n v="999881948444028"/>
    <s v="Fechado|已关闭"/>
    <s v="[LATAM] Delivery progress enquiry"/>
    <s v="2026-09-15 13:54:19"/>
    <x v="60"/>
    <s v="SPN"/>
    <s v="2026-09-15 18:15:01"/>
    <x v="1"/>
  </r>
  <r>
    <s v="5360481640964"/>
    <n v="999882009267933"/>
    <s v="Processamento concluído|处理完成"/>
    <s v="[LATAM] Delivery progress enquiry"/>
    <s v="2026-09-15 13:55:25"/>
    <x v="38"/>
    <s v="SPN"/>
    <n v="0"/>
    <x v="0"/>
  </r>
  <r>
    <s v="5360958621956"/>
    <n v="999882016277515"/>
    <s v="Fechado|已关闭"/>
    <s v="[LATAM] Delivery progress enquiry"/>
    <s v="2026-09-15 13:56:27"/>
    <x v="26"/>
    <s v="SPN"/>
    <s v="2026-09-15 15:40:38"/>
    <x v="1"/>
  </r>
  <r>
    <s v="5362007604484"/>
    <n v="999882030921895"/>
    <s v="Processamento concluído|处理完成"/>
    <s v="[LATAM] Delivery progress enquiry"/>
    <s v="2026-09-15 13:58:37"/>
    <x v="24"/>
    <s v="SPN"/>
    <n v="0"/>
    <x v="0"/>
  </r>
  <r>
    <s v="5360270689796"/>
    <n v="999882015322825"/>
    <s v="Fechado|已关闭"/>
    <s v="[LATAM] Delivery progress enquiry"/>
    <s v="2026-09-15 13:59:07"/>
    <x v="26"/>
    <s v="SPN"/>
    <s v="2026-09-15 15:40:38"/>
    <x v="1"/>
  </r>
  <r>
    <s v="5362007645700"/>
    <n v="999882024348821"/>
    <s v="Fechado|已关闭"/>
    <s v="[LATAM] Delivery progress enquiry"/>
    <s v="2026-09-15 14:00:09"/>
    <x v="26"/>
    <s v="SPN"/>
    <s v="2026-09-15 15:40:38"/>
    <x v="1"/>
  </r>
  <r>
    <s v="5361688820484"/>
    <n v="999881952531745"/>
    <s v="Fechado|已关闭"/>
    <s v="[LATAM] Delivery progress enquiry"/>
    <s v="2026-09-15 14:03:58"/>
    <x v="11"/>
    <s v="SPN"/>
    <n v="0"/>
    <x v="0"/>
  </r>
  <r>
    <s v="5359927496708"/>
    <n v="999882026980947"/>
    <s v="Processamento concluído|处理完成"/>
    <s v="[LATAM] Delivery progress enquiry"/>
    <s v="2026-09-15 14:04:27"/>
    <x v="24"/>
    <s v="SPN"/>
    <n v="0"/>
    <x v="0"/>
  </r>
  <r>
    <s v="5360959019780"/>
    <n v="999881994839195"/>
    <s v="Fechado|已关闭"/>
    <s v="[LATAM] Delivery progress enquiry"/>
    <s v="2026-09-15 14:05:38"/>
    <x v="11"/>
    <s v="SPN"/>
    <s v="2026-09-15 14:38:54"/>
    <x v="1"/>
  </r>
  <r>
    <s v="5359916395524"/>
    <n v="999882025285706"/>
    <s v="Fechado|已关闭"/>
    <s v="[LATAM] Delivery progress enquiry"/>
    <s v="2026-09-15 14:05:43"/>
    <x v="14"/>
    <s v="SPN"/>
    <s v="2026-09-15 16:38:27"/>
    <x v="1"/>
  </r>
  <r>
    <s v="5361525356292"/>
    <n v="999882008050035"/>
    <s v="Fechado|已关闭"/>
    <s v="[LATAM] Delivery progress enquiry"/>
    <s v="2026-09-15 14:10:09"/>
    <x v="22"/>
    <s v="SPN"/>
    <s v="2026-09-15 16:32:27"/>
    <x v="1"/>
  </r>
  <r>
    <s v="5359734840836"/>
    <n v="999881945421790"/>
    <s v="Fechado|已关闭"/>
    <s v="[LATAM] Delivery progress enquiry"/>
    <s v="2026-09-15 14:13:43"/>
    <x v="11"/>
    <s v="SPN"/>
    <s v="2026-09-15 16:32:15"/>
    <x v="1"/>
  </r>
  <r>
    <s v="5359734866436"/>
    <n v="999881924206365"/>
    <s v="Processamento concluído|处理完成"/>
    <s v="[LATAM] Delivery progress enquiry"/>
    <s v="2026-09-15 14:14:40"/>
    <x v="20"/>
    <s v="SPN"/>
    <n v="0"/>
    <x v="0"/>
  </r>
  <r>
    <s v="5359734913796"/>
    <n v="999881953839334"/>
    <s v="Fechado|已关闭"/>
    <s v="[LATAM] Delivery progress enquiry"/>
    <s v="2026-09-15 14:17:24"/>
    <x v="10"/>
    <s v="SPN"/>
    <n v="0"/>
    <x v="0"/>
  </r>
  <r>
    <s v="5361257717252"/>
    <n v="999881981985791"/>
    <s v="Fechado|已关闭"/>
    <s v="[LATAM] Delivery progress enquiry"/>
    <s v="2026-09-15 14:22:55"/>
    <x v="2"/>
    <s v="SPN"/>
    <n v="0"/>
    <x v="0"/>
  </r>
  <r>
    <s v="5361706588676"/>
    <n v="999882034045799"/>
    <s v="Fechado|已关闭"/>
    <s v="[LATAM] Delivery progress enquiry"/>
    <s v="2026-09-15 14:25:37"/>
    <x v="27"/>
    <s v="SPN"/>
    <n v="0"/>
    <x v="0"/>
  </r>
  <r>
    <s v="5360935383556"/>
    <n v="999882030895351"/>
    <s v="Processamento concluído|处理完成"/>
    <s v="[LATAM] Delivery progress enquiry"/>
    <s v="2026-09-15 14:32:25"/>
    <x v="39"/>
    <s v="SPN"/>
    <n v="0"/>
    <x v="0"/>
  </r>
  <r>
    <s v="5360652868612"/>
    <n v="999882024847625"/>
    <s v="Fechado|已关闭"/>
    <s v="[LATAM] Delivery progress enquiry"/>
    <s v="2026-09-15 14:32:35"/>
    <x v="11"/>
    <s v="SPN"/>
    <s v="2026-09-15 17:29:59"/>
    <x v="1"/>
  </r>
  <r>
    <s v="5361258014212"/>
    <n v="999882001454312"/>
    <s v="Processamento concluído|处理完成"/>
    <s v="[LATAM] Delivery progress enquiry"/>
    <s v="2026-09-15 14:36:46"/>
    <x v="2"/>
    <s v="SPN"/>
    <n v="0"/>
    <x v="0"/>
  </r>
  <r>
    <s v="5359928451844"/>
    <n v="999882022898092"/>
    <s v="Fechado|已关闭"/>
    <s v="[LATAM] Delivery progress enquiry"/>
    <s v="2026-09-15 14:41:07"/>
    <x v="54"/>
    <s v="SPN"/>
    <s v="2026-09-15 17:37:51"/>
    <x v="1"/>
  </r>
  <r>
    <s v="5360935766276"/>
    <n v="999882026710069"/>
    <s v="Fechado|已关闭"/>
    <s v="[LATAM] Delivery progress enquiry"/>
    <s v="2026-09-15 14:48:59"/>
    <x v="61"/>
    <s v="SPN"/>
    <s v="2026-09-15 16:46:29"/>
    <x v="1"/>
  </r>
  <r>
    <s v="5360640709380"/>
    <n v="999882016020695"/>
    <s v="Processamento concluído|处理完成"/>
    <s v="[LATAM] Delivery progress enquiry"/>
    <s v="2026-09-15 14:53:53"/>
    <x v="2"/>
    <s v="SPN"/>
    <s v="2026-09-16 08:46:25"/>
    <x v="1"/>
  </r>
  <r>
    <s v="5360663094276"/>
    <n v="999882000779960"/>
    <s v="Fechado|已关闭"/>
    <s v="[LATAM] Delivery progress enquiry"/>
    <s v="2026-09-15 14:54:22"/>
    <x v="24"/>
    <s v="SPN"/>
    <s v="2026-09-15 18:42:30"/>
    <x v="1"/>
  </r>
  <r>
    <s v="5361548707844"/>
    <n v="999882040468303"/>
    <s v="Fechado|已关闭"/>
    <s v="[LATAM] Delivery progress enquiry"/>
    <s v="2026-09-15 15:07:07"/>
    <x v="19"/>
    <s v="SPN"/>
    <s v="2026-09-15 16:21:06"/>
    <x v="1"/>
  </r>
  <r>
    <s v="5361359543300"/>
    <n v="999882020142938"/>
    <s v="Fechado|已关闭"/>
    <s v="[LATAM] Delivery progress enquiry"/>
    <s v="2026-09-15 15:21:24"/>
    <x v="28"/>
    <s v="SPN"/>
    <s v="2026-09-15 17:43:06"/>
    <x v="1"/>
  </r>
  <r>
    <s v="5362885815812"/>
    <n v="999882020436429"/>
    <s v="Fechado|已关闭"/>
    <s v="[LATAM] Delivery progress enquiry"/>
    <s v="2026-09-15 15:22:46"/>
    <x v="38"/>
    <s v="SPN"/>
    <s v="2026-09-15 19:42:04"/>
    <x v="1"/>
  </r>
  <r>
    <s v="5362036716036"/>
    <n v="999882021121805"/>
    <s v="Fechado|已关闭"/>
    <s v="[LATAM] Delivery progress enquiry"/>
    <s v="2026-09-15 15:26:16"/>
    <x v="2"/>
    <s v="SPN"/>
    <n v="0"/>
    <x v="0"/>
  </r>
  <r>
    <s v="5361553821956"/>
    <n v="999882058835233"/>
    <s v="Fechado|已关闭"/>
    <s v="[LATAM] Delivery progress enquiry"/>
    <s v="2026-09-15 15:28:31"/>
    <x v="2"/>
    <s v="SPN"/>
    <n v="0"/>
    <x v="0"/>
  </r>
  <r>
    <s v="5359917754116"/>
    <n v="999882043967622"/>
    <s v="Fechado|已关闭"/>
    <s v="[LATAM] Delivery progress enquiry"/>
    <s v="2026-09-15 15:30:32"/>
    <x v="56"/>
    <s v="SPN"/>
    <s v="2026-09-15 19:17:36"/>
    <x v="1"/>
  </r>
  <r>
    <s v="5361798040580"/>
    <n v="999882031836638"/>
    <s v="Fechado|已关闭"/>
    <s v="[LATAM] Delivery progress enquiry"/>
    <s v="2026-09-15 15:34:17"/>
    <x v="24"/>
    <s v="SPN"/>
    <s v="2026-09-15 17:25:43"/>
    <x v="1"/>
  </r>
  <r>
    <s v="5361264649220"/>
    <n v="999882036851523"/>
    <s v="Fechado|已关闭"/>
    <s v="[LATAM] Delivery progress enquiry"/>
    <s v="2026-09-15 15:36:01"/>
    <x v="59"/>
    <s v="SPN"/>
    <s v="2026-09-15 16:53:56"/>
    <x v="1"/>
  </r>
  <r>
    <s v="5361293084164"/>
    <n v="999881978983395"/>
    <s v="Processamento concluído|处理完成"/>
    <s v="[LATAM] Delivery progress enquiry"/>
    <s v="2026-09-15 15:36:46"/>
    <x v="42"/>
    <s v="SPN"/>
    <n v="0"/>
    <x v="0"/>
  </r>
  <r>
    <s v="5362886029316"/>
    <n v="999882033474696"/>
    <s v="Fechado|已关闭"/>
    <s v="[LATAM] Delivery progress enquiry"/>
    <s v="2026-09-15 15:37:20"/>
    <x v="23"/>
    <s v="SPN"/>
    <s v="2026-09-15 16:06:05"/>
    <x v="1"/>
  </r>
  <r>
    <s v="5360296764420"/>
    <n v="999881988486414"/>
    <s v="Processamento concluído|处理完成"/>
    <s v="[LATAM] Delivery progress enquiry"/>
    <s v="2026-09-15 15:38:07"/>
    <x v="24"/>
    <s v="SPN"/>
    <n v="0"/>
    <x v="0"/>
  </r>
  <r>
    <s v="5361847690244"/>
    <n v="999882015712625"/>
    <s v="Fechado|已关闭"/>
    <s v="[LATAM] Delivery progress enquiry"/>
    <s v="2026-09-15 15:42:32"/>
    <x v="2"/>
    <s v="SPN"/>
    <s v="2026-09-16 10:35:17"/>
    <x v="1"/>
  </r>
  <r>
    <s v="5360999507972"/>
    <n v="999882030655459"/>
    <s v="Processamento concluído|处理完成"/>
    <s v="[LATAM] Delivery progress enquiry"/>
    <s v="2026-09-15 15:43:51"/>
    <x v="2"/>
    <s v="SPN"/>
    <s v="2026-09-16 10:35:17"/>
    <x v="1"/>
  </r>
  <r>
    <s v="5359917909508"/>
    <n v="999881929529307"/>
    <s v="Processamento concluído|处理完成"/>
    <s v="[LATAM] Delivery progress enquiry"/>
    <s v="2026-09-15 15:46:24"/>
    <x v="41"/>
    <s v="SPN"/>
    <n v="0"/>
    <x v="0"/>
  </r>
  <r>
    <s v="5362044841220"/>
    <n v="999881991832375"/>
    <s v="Fechado|已关闭"/>
    <s v="[LATAM] Delivery progress enquiry"/>
    <s v="2026-09-15 15:50:49"/>
    <x v="24"/>
    <s v="SPN"/>
    <s v="2026-09-15 16:44:05"/>
    <x v="1"/>
  </r>
  <r>
    <s v="5360664118276"/>
    <n v="999881994836731"/>
    <s v="Fechado|已关闭"/>
    <s v="[LATAM] Delivery progress enquiry"/>
    <s v="2026-09-15 15:55:19"/>
    <x v="40"/>
    <s v="SPN"/>
    <n v="0"/>
    <x v="0"/>
  </r>
  <r>
    <s v="5362045089540"/>
    <n v="999882002970872"/>
    <s v="Fechado|已关闭"/>
    <s v="[LATAM] Delivery progress enquiry"/>
    <s v="2026-09-15 16:02:22"/>
    <x v="24"/>
    <s v="SPN"/>
    <s v="2026-09-15 18:06:41"/>
    <x v="1"/>
  </r>
  <r>
    <s v="5360302056452"/>
    <n v="999881957400749"/>
    <s v="Fechado|已关闭"/>
    <s v="[LATAM] Delivery progress enquiry"/>
    <s v="2026-09-15 16:05:18"/>
    <x v="11"/>
    <s v="SPN"/>
    <s v="2026-09-15 16:10:14"/>
    <x v="1"/>
  </r>
  <r>
    <s v="5362794511364"/>
    <n v="999881974135569"/>
    <s v="Fechado|已关闭"/>
    <s v="[LATAM] Delivery progress enquiry"/>
    <s v="2026-09-15 16:13:43"/>
    <x v="62"/>
    <s v="SPN"/>
    <s v="2026-09-15 19:51:49"/>
    <x v="1"/>
  </r>
  <r>
    <s v="5362384969476"/>
    <n v="999882006504293"/>
    <s v="Fechado|已关闭"/>
    <s v="[LATAM] Delivery progress enquiry"/>
    <s v="2026-09-15 16:15:03"/>
    <x v="11"/>
    <s v="SPN"/>
    <s v="2026-09-15 20:11:27"/>
    <x v="1"/>
  </r>
  <r>
    <s v="5361389140740"/>
    <n v="999882007221415"/>
    <s v="Fechado|已关闭"/>
    <s v="[LATAM] Delivery progress enquiry"/>
    <s v="2026-09-15 16:17:48"/>
    <x v="27"/>
    <s v="SPN"/>
    <n v="0"/>
    <x v="0"/>
  </r>
  <r>
    <s v="5362934137348"/>
    <n v="999881965098074"/>
    <s v="Fechado|已关闭"/>
    <s v="[LATAM] Delivery progress enquiry"/>
    <s v="2026-09-15 16:23:39"/>
    <x v="63"/>
    <s v="SPN"/>
    <s v="2026-09-15 19:07:41"/>
    <x v="1"/>
  </r>
  <r>
    <s v="5362700832260"/>
    <n v="999882018016703"/>
    <s v="Fechado|已关闭"/>
    <s v="[LATAM] Delivery progress enquiry"/>
    <s v="2026-09-15 16:26:14"/>
    <x v="5"/>
    <s v="SPN"/>
    <s v="2026-09-15 18:03:13"/>
    <x v="1"/>
  </r>
  <r>
    <s v="5361033900804"/>
    <n v="999882025726740"/>
    <s v="Fechado|已关闭"/>
    <s v="[LATAM] Delivery progress enquiry"/>
    <s v="2026-09-15 16:31:56"/>
    <x v="24"/>
    <s v="SPN"/>
    <s v="2026-09-15 17:08:25"/>
    <x v="1"/>
  </r>
  <r>
    <s v="5362794998276"/>
    <n v="999881970573237"/>
    <s v="Fechado|已关闭"/>
    <s v="[LATAM] Delivery progress enquiry"/>
    <s v="2026-09-15 16:54:38"/>
    <x v="27"/>
    <s v="SPN"/>
    <n v="0"/>
    <x v="0"/>
  </r>
  <r>
    <s v="5361034385668"/>
    <n v="999882018733182"/>
    <s v="Processamento concluído|处理完成"/>
    <s v="[LATAM] Delivery progress enquiry"/>
    <s v="2026-09-15 16:58:58"/>
    <x v="42"/>
    <s v="SPN"/>
    <n v="0"/>
    <x v="0"/>
  </r>
  <r>
    <s v="5361383297284"/>
    <n v="999882027451116"/>
    <s v="Fechado|已关闭"/>
    <s v="[LATAM] Delivery progress enquiry"/>
    <s v="2026-09-15 17:00:46"/>
    <x v="11"/>
    <s v="SPN"/>
    <s v="2026-09-15 17:09:52"/>
    <x v="1"/>
  </r>
  <r>
    <s v="5362270849540"/>
    <n v="999882028975275"/>
    <s v="Fechado|已关闭"/>
    <s v="[LATAM] Delivery progress enquiry"/>
    <s v="2026-09-15 17:07:24"/>
    <x v="11"/>
    <s v="SPN"/>
    <s v="2026-09-15 17:09:52"/>
    <x v="1"/>
  </r>
  <r>
    <s v="5362124977412"/>
    <n v="999881994978540"/>
    <s v="Processamento concluído|处理完成"/>
    <s v="[LATAM] Delivery progress enquiry"/>
    <s v="2026-09-15 17:08:51"/>
    <x v="5"/>
    <s v="SPN"/>
    <n v="0"/>
    <x v="0"/>
  </r>
  <r>
    <s v="5361034617348"/>
    <n v="999882030155639"/>
    <s v="Fechado|已关闭"/>
    <s v="[LATAM] Delivery progress enquiry"/>
    <s v="2026-09-15 17:08:52"/>
    <x v="26"/>
    <s v="SPN"/>
    <s v="2026-09-15 18:59:33"/>
    <x v="1"/>
  </r>
  <r>
    <s v="5362586043140"/>
    <n v="999881994367678"/>
    <s v="Fechado|已关闭"/>
    <s v="[LATAM] Delivery progress enquiry"/>
    <s v="2026-09-15 17:29:00"/>
    <x v="20"/>
    <s v="SPN"/>
    <s v="2026-09-15 19:45:33"/>
    <x v="1"/>
  </r>
  <r>
    <s v="5362720953348"/>
    <n v="999882000838274"/>
    <s v="Fechado|已关闭"/>
    <s v="[LATAM] Delivery progress enquiry"/>
    <s v="2026-09-15 17:41:09"/>
    <x v="64"/>
    <s v="SPN"/>
    <s v="2026-09-15 17:46:33"/>
    <x v="1"/>
  </r>
  <r>
    <s v="5361037359620"/>
    <n v="999881942677196"/>
    <s v="Fechado|已关闭"/>
    <s v="[LATAM] Delivery progress enquiry"/>
    <s v="2026-09-15 17:42:48"/>
    <x v="7"/>
    <s v="SPN"/>
    <n v="0"/>
    <x v="0"/>
  </r>
  <r>
    <s v="5363625100292"/>
    <n v="999881955582957"/>
    <s v="Fechado|已关闭"/>
    <s v="[LATAM] Delivery progress enquiry"/>
    <s v="2026-09-15 17:49:49"/>
    <x v="11"/>
    <s v="SPN"/>
    <s v="2026-09-15 19:41:27"/>
    <x v="1"/>
  </r>
  <r>
    <s v="5361314264068"/>
    <n v="999881946283245"/>
    <s v="Fechado|已关闭"/>
    <s v="[LATAM] Delivery progress enquiry"/>
    <s v="2026-09-15 17:50:48"/>
    <x v="1"/>
    <s v="SPN"/>
    <n v="0"/>
    <x v="0"/>
  </r>
  <r>
    <s v="5363808845828"/>
    <n v="999882010302306"/>
    <s v="Fechado|已关闭"/>
    <s v="[LATAM] Delivery progress enquiry"/>
    <s v="2026-09-15 17:59:41"/>
    <x v="39"/>
    <s v="SPN"/>
    <s v="2026-09-15 21:34:27"/>
    <x v="1"/>
  </r>
  <r>
    <s v="5363451130116"/>
    <n v="999882010170657"/>
    <s v="Fechado|已关闭"/>
    <s v="[LATAM] Delivery progress enquiry"/>
    <s v="2026-09-15 18:10:34"/>
    <x v="58"/>
    <s v="SPN"/>
    <s v="2026-09-15 19:02:52"/>
    <x v="1"/>
  </r>
  <r>
    <s v="5363625442564"/>
    <n v="999881961315153"/>
    <s v="Processamento concluído|处理完成"/>
    <s v="[LATAM] Delivery progress enquiry"/>
    <s v="2026-09-15 18:23:38"/>
    <x v="28"/>
    <s v="SPN"/>
    <n v="0"/>
    <x v="0"/>
  </r>
  <r>
    <s v="5363821077252"/>
    <n v="999882026325566"/>
    <s v="Fechado|已关闭"/>
    <s v="[LATAM] Delivery progress enquiry"/>
    <s v="2026-09-15 18:40:02"/>
    <x v="63"/>
    <s v="SPN"/>
    <s v="2026-09-15 19:32:09"/>
    <x v="1"/>
  </r>
  <r>
    <s v="5362662648324"/>
    <n v="999881964583556"/>
    <s v="Processamento concluído|处理完成"/>
    <s v="[LATAM] Delivery progress enquiry"/>
    <s v="2026-09-15 18:44:52"/>
    <x v="5"/>
    <s v="SPN"/>
    <n v="0"/>
    <x v="0"/>
  </r>
  <r>
    <s v="5363550495236"/>
    <n v="999882026614469"/>
    <s v="Fechado|已关闭"/>
    <s v="[LATAM] Delivery progress enquiry"/>
    <s v="2026-09-15 19:17:50"/>
    <x v="4"/>
    <s v="SPN"/>
    <s v="2026-09-15 19:45:48"/>
    <x v="1"/>
  </r>
  <r>
    <s v="5363550530052"/>
    <n v="999882019962224"/>
    <s v="Fechado|已关闭"/>
    <s v="[LATAM] Delivery progress enquiry"/>
    <s v="2026-09-15 19:20:22"/>
    <x v="45"/>
    <s v="SPN"/>
    <s v="2026-09-15 20:18:59"/>
    <x v="1"/>
  </r>
  <r>
    <s v="5363550578180"/>
    <n v="999882004842651"/>
    <s v="Fechado|已关闭"/>
    <s v="[LATAM] Delivery progress enquiry"/>
    <s v="2026-09-15 19:24:22"/>
    <x v="27"/>
    <s v="SPN"/>
    <n v="0"/>
    <x v="0"/>
  </r>
  <r>
    <s v="5362959160580"/>
    <n v="999882029056265"/>
    <s v="Fechado|已关闭"/>
    <s v="[LATAM] Delivery progress enquiry"/>
    <s v="2026-09-15 19:30:58"/>
    <x v="3"/>
    <s v="SPN"/>
    <s v="2026-09-15 20:25:14"/>
    <x v="1"/>
  </r>
  <r>
    <s v="5362743761668"/>
    <n v="999881927711075"/>
    <s v="Fechado|已关闭"/>
    <s v="[LATAM] Delivery progress enquiry"/>
    <s v="2026-09-15 19:45:10"/>
    <x v="65"/>
    <s v="SPN"/>
    <n v="0"/>
    <x v="0"/>
  </r>
  <r>
    <s v="5362839570948"/>
    <n v="999882049651137"/>
    <s v="Fechado|已关闭"/>
    <s v="[LATAM] Delivery progress enquiry"/>
    <s v="2026-09-15 20:07:44"/>
    <x v="66"/>
    <s v="SPN"/>
    <n v="0"/>
    <x v="0"/>
  </r>
  <r>
    <s v="5364267030788"/>
    <n v="999882011055286"/>
    <s v="Fechado|已关闭"/>
    <s v="[LATAM] Delivery progress enquiry"/>
    <s v="2026-09-15 20:49:10"/>
    <x v="14"/>
    <s v="SPN"/>
    <n v="0"/>
    <x v="0"/>
  </r>
  <r>
    <s v="5362764017156"/>
    <n v="999881943136107"/>
    <s v="Fechado|已关闭"/>
    <s v="[LATAM] Delivery progress enquiry"/>
    <s v="2026-09-15 20:50:58"/>
    <x v="2"/>
    <s v="SPN"/>
    <n v="0"/>
    <x v="0"/>
  </r>
  <r>
    <s v="5362303333380"/>
    <n v="999881966946795"/>
    <s v="Pendente de processamento|待处理"/>
    <s v="[LATAM] Delivery progress enquiry"/>
    <s v="2026-09-15 21:12:09"/>
    <x v="67"/>
    <s v="SPN"/>
    <n v="0"/>
    <x v="0"/>
  </r>
  <r>
    <s v="5364110886148"/>
    <n v="999881981747718"/>
    <s v="Processamento concluído|处理完成"/>
    <s v="[LATAM] Delivery progress enquiry"/>
    <s v="2026-09-15 21:35:33"/>
    <x v="24"/>
    <s v="SPN"/>
    <n v="0"/>
    <x v="0"/>
  </r>
  <r>
    <s v="5363973640452"/>
    <n v="999882018603518"/>
    <s v="Pendente de processamento|待处理"/>
    <s v="[LATAM] Delivery progress enquiry"/>
    <s v="2026-09-15 21:39:25"/>
    <x v="2"/>
    <s v="SPN"/>
    <s v="2026-09-16 11:46:02"/>
    <x v="1"/>
  </r>
  <r>
    <s v="5364549651460"/>
    <n v="999881984634413"/>
    <s v="Pendente de atribuição|待分配"/>
    <s v="[LATAM] Delivery progress enquiry"/>
    <s v="2026-09-15 21:46:18"/>
    <x v="68"/>
    <s v="SPN"/>
    <n v="0"/>
    <x v="0"/>
  </r>
  <r>
    <s v="5363863971588"/>
    <n v="999881989228935"/>
    <s v="Pendente de processamento|待处理"/>
    <s v="[LATAM] Delivery progress enquiry"/>
    <s v="2026-09-15 21:51:03"/>
    <x v="69"/>
    <s v="SPN"/>
    <n v="0"/>
    <x v="0"/>
  </r>
  <r>
    <s v="5364220911108"/>
    <n v="999881976843515"/>
    <s v="Fechado|已关闭"/>
    <s v="[LATAM] Delivery progress enquiry"/>
    <s v="2026-09-15 21:53:37"/>
    <x v="9"/>
    <s v="SPN"/>
    <n v="0"/>
    <x v="0"/>
  </r>
  <r>
    <s v="5364132118020"/>
    <n v="999882048184221"/>
    <s v="Em processamento|处理中"/>
    <s v="[LATAM] Delivery progress enquiry"/>
    <s v="2026-09-15 21:55:38"/>
    <x v="22"/>
    <s v="SPN"/>
    <s v="2026-09-16 08:30:17"/>
    <x v="1"/>
  </r>
  <r>
    <s v="5365013489156"/>
    <n v="999882027446270"/>
    <s v="Processamento concluído|处理完成"/>
    <s v="[LATAM] Delivery progress enquiry"/>
    <s v="2026-09-15 21:59:20"/>
    <x v="5"/>
    <s v="SPN"/>
    <s v="2026-09-16 11:27:10"/>
    <x v="1"/>
  </r>
  <r>
    <s v="5364396552964"/>
    <n v="999881972438037"/>
    <s v="Pendente de atribuição|待分配"/>
    <s v="[LATAM] Delivery progress enquiry"/>
    <s v="2026-09-15 22:00:26"/>
    <x v="42"/>
    <s v="SPN"/>
    <n v="0"/>
    <x v="0"/>
  </r>
  <r>
    <s v="5364140241668"/>
    <n v="999881986929646"/>
    <s v="Pendente de processamento|待处理"/>
    <s v="[LATAM] Delivery progress enquiry"/>
    <s v="2026-09-15 22:14:56"/>
    <x v="2"/>
    <s v="SPN"/>
    <n v="0"/>
    <x v="0"/>
  </r>
  <r>
    <s v="5364332804356"/>
    <n v="999882043651400"/>
    <s v="Pendente de atribuição|待分配"/>
    <s v="[LATAM] Delivery progress enquiry"/>
    <s v="2026-09-15 22:15:22"/>
    <x v="21"/>
    <s v="SPN"/>
    <n v="0"/>
    <x v="0"/>
  </r>
  <r>
    <s v="5363696745732"/>
    <n v="999882014373172"/>
    <s v="Pendente de atribuição|待分配"/>
    <s v="[LATAM] Delivery progress enquiry"/>
    <s v="2026-09-15 22:28:38"/>
    <x v="7"/>
    <s v="SPN"/>
    <n v="0"/>
    <x v="0"/>
  </r>
  <r>
    <s v="5364342264068"/>
    <n v="999882023778049"/>
    <s v="Pendente de atribuição|待分配"/>
    <s v="[LATAM] Delivery progress enquiry"/>
    <s v="2026-09-15 22:47:19"/>
    <x v="63"/>
    <s v="SPN"/>
    <n v="0"/>
    <x v="0"/>
  </r>
  <r>
    <s v="5363695851012"/>
    <n v="999882093659608"/>
    <s v="Fechado|已关闭"/>
    <s v="[LATAM] Delivery progress enquiry"/>
    <s v="2026-09-15 22:52:46"/>
    <x v="19"/>
    <s v="SPN"/>
    <n v="0"/>
    <x v="0"/>
  </r>
  <r>
    <s v="5364785118980"/>
    <n v="999882046432423"/>
    <s v="Pendente de atribuição|待分配"/>
    <s v="[LATAM] Delivery progress enquiry"/>
    <s v="2026-09-15 23:03:22"/>
    <x v="11"/>
    <s v="SPN"/>
    <s v="2026-09-16 08:19:25"/>
    <x v="1"/>
  </r>
  <r>
    <s v="5366148545540"/>
    <n v="999882005072805"/>
    <s v="Pendente de processamento|待处理"/>
    <s v="[LATAM] Delivery progress enquiry"/>
    <s v="2026-09-15 23:23:36"/>
    <x v="2"/>
    <s v="SPN"/>
    <n v="0"/>
    <x v="0"/>
  </r>
  <r>
    <s v="5367038497284"/>
    <n v="999881997537588"/>
    <s v="Pendente de atribuição|待分配"/>
    <s v="[LATAM] Delivery progress enquiry"/>
    <s v="2026-09-16 00:15:56"/>
    <x v="58"/>
    <s v="SPN"/>
    <n v="0"/>
    <x v="0"/>
  </r>
  <r>
    <s v="5367233652228"/>
    <n v="999881998880188"/>
    <s v="Processamento concluído|处理完成"/>
    <s v="[LATAM] Delivery progress enquiry"/>
    <s v="2026-09-16 00:55:49"/>
    <x v="12"/>
    <s v="SPN"/>
    <n v="0"/>
    <x v="0"/>
  </r>
  <r>
    <s v="5372659668996"/>
    <n v="999881965741738"/>
    <s v="Fechado|已关闭"/>
    <s v="[LATAM] Delivery progress enquiry"/>
    <s v="2026-09-16 05:52:46"/>
    <x v="20"/>
    <s v="SPN"/>
    <n v="0"/>
    <x v="0"/>
  </r>
  <r>
    <s v="5372394053892"/>
    <n v="999881952570271"/>
    <s v="Processamento concluído|处理完成"/>
    <s v="[LATAM] Delivery progress enquiry"/>
    <s v="2026-09-16 06:01:15"/>
    <x v="41"/>
    <s v="SPN"/>
    <n v="0"/>
    <x v="0"/>
  </r>
  <r>
    <s v="5371689118724"/>
    <n v="999882020548958"/>
    <s v="Processamento concluído|处理完成"/>
    <s v="[LATAM] Delivery progress enquiry"/>
    <s v="2026-09-16 06:21:17"/>
    <x v="41"/>
    <s v="SPN"/>
    <n v="0"/>
    <x v="0"/>
  </r>
  <r>
    <s v="5372845751044"/>
    <n v="999882024134295"/>
    <s v="Pendente de atribuição|待分配"/>
    <s v="[LATAM] Delivery progress enquiry"/>
    <s v="2026-09-16 06:26:24"/>
    <x v="25"/>
    <s v="SPN"/>
    <n v="0"/>
    <x v="0"/>
  </r>
  <r>
    <s v="5373393558276"/>
    <n v="999882018330846"/>
    <s v="Pendente de atribuição|待分配"/>
    <s v="[LATAM] Delivery progress enquiry"/>
    <s v="2026-09-16 06:37:46"/>
    <x v="70"/>
    <s v="SPN"/>
    <n v="0"/>
    <x v="0"/>
  </r>
  <r>
    <s v="5372873227268"/>
    <n v="999882010453773"/>
    <s v="Fechado|已关闭"/>
    <s v="[LATAM] Delivery progress enquiry"/>
    <s v="2026-09-16 06:52:04"/>
    <x v="28"/>
    <s v="SPN"/>
    <n v="0"/>
    <x v="0"/>
  </r>
  <r>
    <s v="5372693657860"/>
    <n v="999882068137846"/>
    <s v="Fechado|已关闭"/>
    <s v="[LATAM] Delivery progress enquiry"/>
    <s v="2026-09-16 06:53:34"/>
    <x v="26"/>
    <s v="SPN"/>
    <s v="2026-09-16 11:28:46"/>
    <x v="1"/>
  </r>
  <r>
    <s v="5373394120196"/>
    <n v="999881994510965"/>
    <s v="Fechado|已关闭"/>
    <s v="[LATAM] Delivery progress enquiry"/>
    <s v="2026-09-16 06:56:41"/>
    <x v="61"/>
    <s v="SPN"/>
    <n v="0"/>
    <x v="0"/>
  </r>
  <r>
    <s v="5372355528964"/>
    <n v="999882028998466"/>
    <s v="Pendente de atribuição|待分配"/>
    <s v="[LATAM] Delivery progress enquiry"/>
    <s v="2026-09-16 07:04:21"/>
    <x v="7"/>
    <s v="SPN"/>
    <n v="0"/>
    <x v="0"/>
  </r>
  <r>
    <s v="5372873915396"/>
    <n v="999881890269430"/>
    <s v="Pendente de atribuição|待分配"/>
    <s v="[LATAM] Delivery progress enquiry"/>
    <s v="2026-09-16 07:12:11"/>
    <x v="22"/>
    <s v="SPN"/>
    <n v="0"/>
    <x v="0"/>
  </r>
  <r>
    <s v="5372874052868"/>
    <n v="999882026953888"/>
    <s v="Pendente de atribuição|待分配"/>
    <s v="[LATAM] Delivery progress enquiry"/>
    <s v="2026-09-16 07:16:46"/>
    <x v="11"/>
    <s v="SPN"/>
    <n v="0"/>
    <x v="0"/>
  </r>
  <r>
    <s v="5372905043716"/>
    <n v="999882027481262"/>
    <s v="Fechado|已关闭"/>
    <s v="[LATAM] Delivery progress enquiry"/>
    <s v="2026-09-16 07:24:21"/>
    <x v="71"/>
    <s v="SPN"/>
    <s v="2026-09-16 10:44:31"/>
    <x v="1"/>
  </r>
  <r>
    <s v="5373136609540"/>
    <n v="999882030494714"/>
    <s v="Pendente de processamento|待处理"/>
    <s v="[LATAM] Delivery progress enquiry"/>
    <s v="2026-09-16 07:36:02"/>
    <x v="3"/>
    <s v="SPN"/>
    <s v="2026-09-16 10:33:31"/>
    <x v="1"/>
  </r>
  <r>
    <s v="5374131736836"/>
    <n v="999881964470595"/>
    <s v="Pendente de atribuição|待分配"/>
    <s v="[LATAM] Delivery progress enquiry"/>
    <s v="2026-09-16 07:38:02"/>
    <x v="43"/>
    <s v="SPN"/>
    <n v="0"/>
    <x v="0"/>
  </r>
  <r>
    <s v="5374312660996"/>
    <n v="999882009843144"/>
    <s v="Pendente de atribuição|待分配"/>
    <s v="[LATAM] Delivery progress enquiry"/>
    <s v="2026-09-16 07:38:52"/>
    <x v="24"/>
    <s v="SPN"/>
    <n v="0"/>
    <x v="0"/>
  </r>
  <r>
    <s v="5374043403012"/>
    <n v="999882055413455"/>
    <s v="Fechado|已关闭"/>
    <s v="[LATAM] Delivery progress enquiry"/>
    <s v="2026-09-16 07:50:04"/>
    <x v="72"/>
    <s v="SPN"/>
    <n v="0"/>
    <x v="0"/>
  </r>
  <r>
    <s v="5372804408580"/>
    <n v="999881963172787"/>
    <s v="Pendente de processamento|待处理"/>
    <s v="[LATAM] Delivery progress enquiry"/>
    <s v="2026-09-16 07:50:51"/>
    <x v="3"/>
    <s v="SPN"/>
    <s v="2026-09-16 10:28:50"/>
    <x v="1"/>
  </r>
  <r>
    <s v="5374046709764"/>
    <n v="999882009447570"/>
    <s v="Pendente de atribuição|待分配"/>
    <s v="[LATAM] Delivery progress enquiry"/>
    <s v="2026-09-16 07:52:47"/>
    <x v="42"/>
    <s v="SPN"/>
    <n v="0"/>
    <x v="0"/>
  </r>
  <r>
    <s v="5373865904132"/>
    <n v="999882027200993"/>
    <s v="Pendente de atribuição|待分配"/>
    <s v="[LATAM] Delivery progress enquiry"/>
    <s v="2026-09-16 07:53:17"/>
    <x v="21"/>
    <s v="SPN"/>
    <n v="0"/>
    <x v="0"/>
  </r>
  <r>
    <s v="5372906227972"/>
    <n v="999882049673161"/>
    <s v="Pendente de atribuição|待分配"/>
    <s v="[LATAM] Delivery progress enquiry"/>
    <s v="2026-09-16 07:58:06"/>
    <x v="73"/>
    <s v="SPN"/>
    <n v="0"/>
    <x v="0"/>
  </r>
  <r>
    <s v="5373004946692"/>
    <n v="999882057371606"/>
    <s v="Fechado|已关闭"/>
    <s v="[LATAM] Delivery progress enquiry"/>
    <s v="2026-09-16 07:59:31"/>
    <x v="37"/>
    <s v="SPN"/>
    <n v="0"/>
    <x v="0"/>
  </r>
  <r>
    <s v="5373005007620"/>
    <n v="999881918842200"/>
    <s v="Pendente de atribuição|待分配"/>
    <s v="[LATAM] Delivery progress enquiry"/>
    <s v="2026-09-16 08:01:44"/>
    <x v="58"/>
    <s v="SPN"/>
    <n v="0"/>
    <x v="0"/>
  </r>
  <r>
    <s v="5374067943172"/>
    <n v="999882030356460"/>
    <s v="Fechado|已关闭"/>
    <s v="[LATAM] Delivery progress enquiry"/>
    <s v="2026-09-16 08:06:16"/>
    <x v="74"/>
    <s v="SPN"/>
    <n v="0"/>
    <x v="0"/>
  </r>
  <r>
    <s v="5374042732804"/>
    <n v="999881973527504"/>
    <s v="Pendente de atribuição|待分配"/>
    <s v="[LATAM] Delivery progress enquiry"/>
    <s v="2026-09-16 08:08:36"/>
    <x v="22"/>
    <s v="SPN"/>
    <n v="0"/>
    <x v="0"/>
  </r>
  <r>
    <s v="5374047314180"/>
    <n v="999882028431255"/>
    <s v="Fechado|已关闭"/>
    <s v="[LATAM] Delivery progress enquiry"/>
    <s v="2026-09-16 08:09:00"/>
    <x v="24"/>
    <s v="SPN"/>
    <n v="0"/>
    <x v="0"/>
  </r>
  <r>
    <s v="5370931550212"/>
    <n v="999881985525207"/>
    <s v="Processamento concluído|处理完成"/>
    <s v="[LATAM] Delivery progress enquiry"/>
    <s v="2026-09-16 04:28:21"/>
    <x v="2"/>
    <s v="SPN"/>
    <n v="0"/>
    <x v="0"/>
  </r>
  <r>
    <s v="5373617024516"/>
    <n v="999882034899311"/>
    <s v="Processamento concluído|处理完成"/>
    <s v="[LATAM] Delivery progress enquiry"/>
    <s v="2026-09-16 08:17:45"/>
    <x v="39"/>
    <s v="SPN"/>
    <n v="0"/>
    <x v="0"/>
  </r>
  <r>
    <s v="5373343666692"/>
    <n v="999882006091160"/>
    <s v="Pendente de atribuição|待分配"/>
    <s v="[LATAM] Delivery progress enquiry"/>
    <s v="2026-09-16 08:22:05"/>
    <x v="24"/>
    <s v="SPN"/>
    <n v="0"/>
    <x v="0"/>
  </r>
  <r>
    <s v="5373636668164"/>
    <n v="999882062524412"/>
    <s v="Fechado|已关闭"/>
    <s v="[LATAM] Delivery progress enquiry"/>
    <s v="2026-09-16 08:22:10"/>
    <x v="75"/>
    <s v="SPN"/>
    <s v="2026-09-16 09:28:26"/>
    <x v="1"/>
  </r>
  <r>
    <s v="5374242591748"/>
    <n v="999882004840155"/>
    <s v="Processamento concluído|处理完成"/>
    <s v="[LATAM] Delivery progress enquiry"/>
    <s v="2026-09-16 08:23:48"/>
    <x v="11"/>
    <s v="SPN"/>
    <n v="0"/>
    <x v="0"/>
  </r>
  <r>
    <s v="5374068902148"/>
    <n v="999881988422486"/>
    <s v="Pendente de atribuição|待分配"/>
    <s v="[LATAM] Delivery progress enquiry"/>
    <s v="2026-09-16 08:24:01"/>
    <x v="25"/>
    <s v="SPN"/>
    <n v="0"/>
    <x v="0"/>
  </r>
  <r>
    <s v="5374347751172"/>
    <n v="999882040375846"/>
    <s v="Fechado|已关闭"/>
    <s v="[LATAM] Delivery progress enquiry"/>
    <s v="2026-09-16 08:24:52"/>
    <x v="47"/>
    <s v="SPN"/>
    <s v="2026-09-16 11:40:39"/>
    <x v="1"/>
  </r>
  <r>
    <s v="5373699764996"/>
    <n v="999881985055385"/>
    <s v="Processamento concluído|处理完成"/>
    <s v="[LATAM] Delivery progress enquiry"/>
    <s v="2026-09-16 08:28:09"/>
    <x v="2"/>
    <s v="SPN"/>
    <n v="0"/>
    <x v="0"/>
  </r>
  <r>
    <s v="5374242754564"/>
    <n v="999881974903589"/>
    <s v="Processamento concluído|处理完成"/>
    <s v="[LATAM] Delivery progress enquiry"/>
    <s v="2026-09-16 08:28:29"/>
    <x v="2"/>
    <s v="SPN"/>
    <n v="0"/>
    <x v="0"/>
  </r>
  <r>
    <s v="5373453975556"/>
    <n v="999881941537825"/>
    <s v="Fechado|已关闭"/>
    <s v="[LATAM] Delivery progress enquiry"/>
    <s v="2026-09-16 08:29:08"/>
    <x v="34"/>
    <s v="SPN"/>
    <n v="0"/>
    <x v="0"/>
  </r>
  <r>
    <s v="5373358947332"/>
    <n v="999881878053138"/>
    <s v="Pendente de processamento|待处理"/>
    <s v="[LATAM] Delivery progress enquiry"/>
    <s v="2026-09-16 08:34:02"/>
    <x v="10"/>
    <s v="SPN"/>
    <n v="0"/>
    <x v="0"/>
  </r>
  <r>
    <s v="5373631072004"/>
    <n v="999881987652856"/>
    <s v="Processamento concluído|处理完成"/>
    <s v="[LATAM] Delivery progress enquiry"/>
    <s v="2026-09-16 08:34:48"/>
    <x v="0"/>
    <s v="SPN"/>
    <n v="0"/>
    <x v="0"/>
  </r>
  <r>
    <s v="5373637580804"/>
    <n v="999882072144815"/>
    <s v="Fechado|已关闭"/>
    <s v="[LATAM] Delivery progress enquiry"/>
    <s v="2026-09-16 08:41:07"/>
    <x v="28"/>
    <s v="SPN"/>
    <n v="0"/>
    <x v="0"/>
  </r>
  <r>
    <s v="5374784375300"/>
    <n v="999881987767099"/>
    <s v="Processamento concluído|处理完成"/>
    <s v="[LATAM] Delivery progress enquiry"/>
    <s v="2026-09-16 08:42:50"/>
    <x v="38"/>
    <s v="SPN"/>
    <n v="0"/>
    <x v="0"/>
  </r>
  <r>
    <s v="5373655029508"/>
    <n v="999882061944745"/>
    <s v="Fechado|已关闭"/>
    <s v="[LATAM] Delivery progress enquiry"/>
    <s v="2026-09-16 08:46:28"/>
    <x v="14"/>
    <s v="SPN"/>
    <n v="0"/>
    <x v="0"/>
  </r>
  <r>
    <s v="5373934179076"/>
    <n v="999882011075987"/>
    <s v="Pendente de atribuição|待分配"/>
    <s v="[LATAM] Delivery progress enquiry"/>
    <s v="2026-09-16 08:47:44"/>
    <x v="8"/>
    <s v="SPN"/>
    <n v="0"/>
    <x v="0"/>
  </r>
  <r>
    <s v="5374348626436"/>
    <n v="999881955251750"/>
    <s v="Processamento concluído|处理完成"/>
    <s v="[LATAM] Delivery progress enquiry"/>
    <s v="2026-09-16 08:47:55"/>
    <x v="38"/>
    <s v="SPN"/>
    <n v="0"/>
    <x v="0"/>
  </r>
  <r>
    <s v="5373932848900"/>
    <n v="999881983473759"/>
    <s v="Processamento concluído|处理完成"/>
    <s v="[LATAM] Delivery progress enquiry"/>
    <s v="2026-09-16 08:48:44"/>
    <x v="2"/>
    <s v="SPN"/>
    <n v="0"/>
    <x v="0"/>
  </r>
  <r>
    <s v="5374803995140"/>
    <n v="999882073563517"/>
    <s v="Fechado|已关闭"/>
    <s v="[LATAM] Delivery progress enquiry"/>
    <s v="2026-09-16 08:49:35"/>
    <x v="47"/>
    <s v="SPN"/>
    <s v="2026-09-16 11:15:26"/>
    <x v="1"/>
  </r>
  <r>
    <s v="5374071917060"/>
    <n v="999881976760610"/>
    <s v="Processamento concluído|处理完成"/>
    <s v="[LATAM] Delivery progress enquiry"/>
    <s v="2026-09-16 08:50:03"/>
    <x v="11"/>
    <s v="SPN"/>
    <n v="0"/>
    <x v="0"/>
  </r>
  <r>
    <s v="5374082387972"/>
    <n v="999882031900350"/>
    <s v="Processamento concluído|处理完成"/>
    <s v="[LATAM] Delivery progress enquiry"/>
    <s v="2026-09-16 08:50:32"/>
    <x v="37"/>
    <s v="SPN"/>
    <n v="0"/>
    <x v="0"/>
  </r>
  <r>
    <s v="5373454743044"/>
    <n v="999882009743768"/>
    <s v="Fechado|已关闭"/>
    <s v="[LATAM] Delivery progress enquiry"/>
    <s v="2026-09-16 08:51:44"/>
    <x v="20"/>
    <s v="SPN"/>
    <n v="0"/>
    <x v="0"/>
  </r>
  <r>
    <s v="5374297022980"/>
    <n v="999882073355328"/>
    <s v="Fechado|已关闭"/>
    <s v="[LATAM] Delivery progress enquiry"/>
    <s v="2026-09-16 08:53:23"/>
    <x v="42"/>
    <s v="SPN"/>
    <s v="2026-09-16 11:27:45"/>
    <x v="1"/>
  </r>
  <r>
    <s v="5373646088708"/>
    <n v="999882063136799"/>
    <s v="Processamento concluído|处理完成"/>
    <s v="[LATAM] Delivery progress enquiry"/>
    <s v="2026-09-16 08:53:31"/>
    <x v="39"/>
    <s v="SPN"/>
    <n v="0"/>
    <x v="0"/>
  </r>
  <r>
    <s v="5374072225540"/>
    <n v="999881994976955"/>
    <s v="Fechado|已关闭"/>
    <s v="[LATAM] Delivery progress enquiry"/>
    <s v="2026-09-16 08:59:18"/>
    <x v="27"/>
    <s v="SPN"/>
    <n v="0"/>
    <x v="0"/>
  </r>
  <r>
    <s v="5374701177348"/>
    <n v="999882055948957"/>
    <s v="Fechado|已关闭"/>
    <s v="[LATAM] Delivery progress enquiry"/>
    <s v="2026-09-16 09:00:13"/>
    <x v="24"/>
    <s v="SPN"/>
    <n v="0"/>
    <x v="0"/>
  </r>
  <r>
    <s v="5374804422404"/>
    <n v="999882019351215"/>
    <s v="Processamento concluído|处理完成"/>
    <s v="[LATAM] Delivery progress enquiry"/>
    <s v="2026-09-16 09:02:53"/>
    <x v="11"/>
    <s v="SPN"/>
    <n v="0"/>
    <x v="0"/>
  </r>
  <r>
    <s v="5373353306884"/>
    <n v="999882067438295"/>
    <s v="Processamento concluído|处理完成"/>
    <s v="[LATAM] Delivery progress enquiry"/>
    <s v="2026-09-16 09:06:31"/>
    <x v="71"/>
    <s v="SPN"/>
    <n v="0"/>
    <x v="0"/>
  </r>
  <r>
    <s v="5374701429252"/>
    <n v="999882013501926"/>
    <s v="Fechado|已关闭"/>
    <s v="[LATAM] Delivery progress enquiry"/>
    <s v="2026-09-16 09:06:57"/>
    <x v="2"/>
    <s v="SPN"/>
    <n v="0"/>
    <x v="0"/>
  </r>
  <r>
    <s v="5373191006980"/>
    <n v="999882048803898"/>
    <s v="Fechado|已关闭"/>
    <s v="[LATAM] Delivery progress enquiry"/>
    <s v="2026-09-16 09:11:26"/>
    <x v="8"/>
    <s v="SPN"/>
    <s v="2026-09-16 11:46:42"/>
    <x v="1"/>
  </r>
  <r>
    <s v="5373197069572"/>
    <n v="999882033576735"/>
    <s v="Fechado|已关闭"/>
    <s v="[LATAM] Delivery progress enquiry"/>
    <s v="2026-09-16 09:11:39"/>
    <x v="39"/>
    <s v="SPN"/>
    <n v="0"/>
    <x v="0"/>
  </r>
  <r>
    <s v="5373197080836"/>
    <n v="999881996748900"/>
    <s v="Fechado|已关闭"/>
    <s v="[LATAM] Delivery progress enquiry"/>
    <s v="2026-09-16 09:11:55"/>
    <x v="26"/>
    <s v="SPN"/>
    <n v="0"/>
    <x v="0"/>
  </r>
  <r>
    <s v="5374297589252"/>
    <n v="999882020147453"/>
    <s v="Processamento concluído|处理完成"/>
    <s v="[LATAM] Delivery progress enquiry"/>
    <s v="2026-09-16 09:13:45"/>
    <x v="5"/>
    <s v="SPN"/>
    <n v="0"/>
    <x v="0"/>
  </r>
  <r>
    <s v="5373179814404"/>
    <n v="999881960017164"/>
    <s v="Pendente de atribuição|待分配"/>
    <s v="[LATAM] Delivery progress enquiry"/>
    <s v="2026-09-16 09:16:44"/>
    <x v="49"/>
    <s v="SPN"/>
    <n v="0"/>
    <x v="0"/>
  </r>
  <r>
    <s v="5374701869828"/>
    <n v="999882023373262"/>
    <s v="Fechado|已关闭"/>
    <s v="[LATAM] Delivery progress enquiry"/>
    <s v="2026-09-16 09:20:24"/>
    <x v="11"/>
    <s v="SPN"/>
    <n v="0"/>
    <x v="0"/>
  </r>
  <r>
    <s v="5374701887748"/>
    <n v="999882040338845"/>
    <s v="Fechado|已关闭"/>
    <s v="[LATAM] Delivery progress enquiry"/>
    <s v="2026-09-16 09:21:14"/>
    <x v="11"/>
    <s v="SPN"/>
    <n v="0"/>
    <x v="0"/>
  </r>
  <r>
    <s v="5374198335492"/>
    <n v="999882036357737"/>
    <s v="Fechado|已关闭"/>
    <s v="[LATAM] Delivery progress enquiry"/>
    <s v="2026-09-16 09:21:19"/>
    <x v="9"/>
    <s v="SPN"/>
    <s v="2026-09-16 10:03:42"/>
    <x v="1"/>
  </r>
  <r>
    <s v="5374623503620"/>
    <n v="999881930654345"/>
    <s v="Pendente de atribuição|待分配"/>
    <s v="[LATAM] Delivery progress enquiry"/>
    <s v="2026-09-16 09:21:41"/>
    <x v="59"/>
    <s v="SPN"/>
    <n v="0"/>
    <x v="0"/>
  </r>
  <r>
    <s v="5374198348292"/>
    <n v="999882010867455"/>
    <s v="Pendente de atribuição|待分配"/>
    <s v="[LATAM] Delivery progress enquiry"/>
    <s v="2026-09-16 09:21:47"/>
    <x v="42"/>
    <s v="SPN"/>
    <n v="0"/>
    <x v="0"/>
  </r>
  <r>
    <s v="5374969112068"/>
    <n v="999882029238753"/>
    <s v="Fechado|已关闭"/>
    <s v="[LATAM] Delivery progress enquiry"/>
    <s v="2026-09-16 09:23:29"/>
    <x v="22"/>
    <s v="SPN"/>
    <s v="2026-09-16 11:00:14"/>
    <x v="1"/>
  </r>
  <r>
    <s v="5375072493572"/>
    <n v="999882004107772"/>
    <s v="Fechado|已关闭"/>
    <s v="[LATAM] Delivery progress enquiry"/>
    <s v="2026-09-16 09:23:52"/>
    <x v="12"/>
    <s v="SPN"/>
    <n v="0"/>
    <x v="0"/>
  </r>
  <r>
    <s v="5375072514308"/>
    <n v="999882008041675"/>
    <s v="Processamento concluído|处理完成"/>
    <s v="[LATAM] Delivery progress enquiry"/>
    <s v="2026-09-16 09:24:42"/>
    <x v="30"/>
    <s v="SPN"/>
    <n v="0"/>
    <x v="0"/>
  </r>
  <r>
    <s v="5373935271684"/>
    <n v="999881980160487"/>
    <s v="Fechado|已关闭"/>
    <s v="[LATAM] Delivery progress enquiry"/>
    <s v="2026-09-16 09:25:13"/>
    <x v="20"/>
    <s v="SPN"/>
    <n v="0"/>
    <x v="0"/>
  </r>
  <r>
    <s v="5373939491332"/>
    <n v="999882062042217"/>
    <s v="Fechado|已关闭"/>
    <s v="[LATAM] Delivery progress enquiry"/>
    <s v="2026-09-16 09:25:42"/>
    <x v="25"/>
    <s v="SPN"/>
    <n v="0"/>
    <x v="0"/>
  </r>
  <r>
    <s v="5374198476804"/>
    <n v="999882066019376"/>
    <s v="Fechado|已关闭"/>
    <s v="[LATAM] Delivery progress enquiry"/>
    <s v="2026-09-16 09:26:02"/>
    <x v="24"/>
    <s v="SPN"/>
    <n v="0"/>
    <x v="0"/>
  </r>
  <r>
    <s v="5374702041092"/>
    <n v="999882047581125"/>
    <s v="Fechado|已关闭"/>
    <s v="[LATAM] Delivery progress enquiry"/>
    <s v="2026-09-16 09:26:12"/>
    <x v="33"/>
    <s v="SPN"/>
    <s v="2026-09-16 10:56:41"/>
    <x v="1"/>
  </r>
  <r>
    <s v="5374711813636"/>
    <n v="999882007950789"/>
    <s v="Processamento concluído|处理完成"/>
    <s v="[LATAM] Delivery progress enquiry"/>
    <s v="2026-09-16 09:26:39"/>
    <x v="11"/>
    <s v="SPN"/>
    <n v="0"/>
    <x v="0"/>
  </r>
  <r>
    <s v="5373935359492"/>
    <n v="999882041638512"/>
    <s v="Processamento concluído|处理完成"/>
    <s v="[LATAM] Delivery progress enquiry"/>
    <s v="2026-09-16 09:28:57"/>
    <x v="15"/>
    <s v="SPN"/>
    <n v="0"/>
    <x v="0"/>
  </r>
  <r>
    <s v="5374976344580"/>
    <n v="999881973080621"/>
    <s v="Pendente de atribuição|待分配"/>
    <s v="[LATAM] Delivery progress enquiry"/>
    <s v="2026-09-16 09:28:59"/>
    <x v="20"/>
    <s v="SPN"/>
    <n v="0"/>
    <x v="0"/>
  </r>
  <r>
    <s v="5373380176644"/>
    <n v="999881988395817"/>
    <s v="Pendente de atribuição|待分配"/>
    <s v="[LATAM] Delivery progress enquiry"/>
    <s v="2026-09-16 09:34:45"/>
    <x v="41"/>
    <s v="SPN"/>
    <n v="0"/>
    <x v="0"/>
  </r>
  <r>
    <s v="5374198809860"/>
    <n v="999881991847025"/>
    <s v="Processamento concluído|处理完成"/>
    <s v="[LATAM] Delivery progress enquiry"/>
    <s v="2026-09-16 09:35:52"/>
    <x v="2"/>
    <s v="SPN"/>
    <n v="0"/>
    <x v="0"/>
  </r>
  <r>
    <s v="5375077093892"/>
    <n v="999882005150746"/>
    <s v="Pendente de processamento|待处理"/>
    <s v="[LATAM] Delivery progress enquiry"/>
    <s v="2026-09-16 09:42:48"/>
    <x v="21"/>
    <s v="SPN"/>
    <n v="0"/>
    <x v="0"/>
  </r>
  <r>
    <s v="5375616057860"/>
    <n v="999882028486486"/>
    <s v="Pendente de atribuição|待分配"/>
    <s v="[LATAM] Delivery progress enquiry"/>
    <s v="2026-09-16 09:43:24"/>
    <x v="76"/>
    <s v="SPN"/>
    <n v="0"/>
    <x v="0"/>
  </r>
  <r>
    <s v="5375602707716"/>
    <n v="999881954499175"/>
    <s v="Processamento concluído|处理完成"/>
    <s v="[LATAM] Delivery progress enquiry"/>
    <s v="2026-09-16 09:44:16"/>
    <x v="2"/>
    <s v="SPN"/>
    <n v="0"/>
    <x v="0"/>
  </r>
  <r>
    <s v="5374100971524"/>
    <n v="999882035062893"/>
    <s v="Pendente de processamento|待处理"/>
    <s v="[LATAM] Delivery progress enquiry"/>
    <s v="2026-09-16 09:51:13"/>
    <x v="77"/>
    <s v="SPN"/>
    <n v="0"/>
    <x v="0"/>
  </r>
  <r>
    <s v="5375344530436"/>
    <n v="999882031258325"/>
    <s v="Fechado|已关闭"/>
    <s v="[LATAM] Delivery progress enquiry"/>
    <s v="2026-09-16 09:52:25"/>
    <x v="4"/>
    <s v="SPN"/>
    <n v="0"/>
    <x v="0"/>
  </r>
  <r>
    <s v="5375073214468"/>
    <n v="999882004202646"/>
    <s v="Processamento concluído|处理完成"/>
    <s v="[LATAM] Delivery progress enquiry"/>
    <s v="2026-09-16 09:54:45"/>
    <x v="28"/>
    <s v="SPN"/>
    <n v="0"/>
    <x v="0"/>
  </r>
  <r>
    <s v="5374651817988"/>
    <n v="999882061339792"/>
    <s v="Fechado|已关闭"/>
    <s v="[LATAM] Delivery progress enquiry"/>
    <s v="2026-09-16 09:54:50"/>
    <x v="53"/>
    <s v="SPN"/>
    <n v="0"/>
    <x v="0"/>
  </r>
  <r>
    <s v="5374386899716"/>
    <n v="999882043225815"/>
    <s v="Pendente de atribuição|待分配"/>
    <s v="[LATAM] Delivery progress enquiry"/>
    <s v="2026-09-16 09:57:36"/>
    <x v="24"/>
    <s v="SPN"/>
    <n v="0"/>
    <x v="0"/>
  </r>
  <r>
    <s v="5373380908292"/>
    <n v="999882026394121"/>
    <s v="Processamento concluído|处理完成"/>
    <s v="[LATAM] Delivery progress enquiry"/>
    <s v="2026-09-16 10:01:19"/>
    <x v="27"/>
    <s v="SPN"/>
    <n v="0"/>
    <x v="0"/>
  </r>
  <r>
    <s v="5374652133892"/>
    <n v="999881877113480"/>
    <s v="Processamento concluído|处理完成"/>
    <s v="[LATAM] Delivery progress enquiry"/>
    <s v="2026-09-16 10:02:11"/>
    <x v="71"/>
    <s v="SPN"/>
    <n v="0"/>
    <x v="0"/>
  </r>
  <r>
    <s v="5375611995396"/>
    <n v="999881946159080"/>
    <s v="Pendente de processamento|待处理"/>
    <s v="[LATAM] Delivery progress enquiry"/>
    <s v="2026-09-16 10:02:39"/>
    <x v="7"/>
    <s v="SPN"/>
    <n v="0"/>
    <x v="0"/>
  </r>
  <r>
    <s v="5374387131396"/>
    <n v="999882030183639"/>
    <s v="Fechado|已关闭"/>
    <s v="[LATAM] Delivery progress enquiry"/>
    <s v="2026-09-16 10:04:36"/>
    <x v="70"/>
    <s v="SPN"/>
    <n v="0"/>
    <x v="0"/>
  </r>
  <r>
    <s v="5374387183108"/>
    <n v="999882014635905"/>
    <s v="Pendente de atribuição|待分配"/>
    <s v="[LATAM] Delivery progress enquiry"/>
    <s v="2026-09-16 10:06:56"/>
    <x v="39"/>
    <s v="SPN"/>
    <n v="0"/>
    <x v="0"/>
  </r>
  <r>
    <s v="5374905535492"/>
    <n v="999881996602284"/>
    <s v="Fechado|已关闭"/>
    <s v="[LATAM] Delivery progress enquiry"/>
    <s v="2026-09-16 10:10:21"/>
    <x v="2"/>
    <s v="SPN"/>
    <n v="0"/>
    <x v="0"/>
  </r>
  <r>
    <s v="5374204060676"/>
    <n v="999882063411303"/>
    <s v="Fechado|已关闭"/>
    <s v="[LATAM] Delivery progress enquiry"/>
    <s v="2026-09-16 10:10:45"/>
    <x v="67"/>
    <s v="SPN"/>
    <n v="0"/>
    <x v="0"/>
  </r>
  <r>
    <s v="5374113824516"/>
    <n v="999881906212466"/>
    <s v="Em processamento|处理中"/>
    <s v="[LATAM] Delivery progress enquiry"/>
    <s v="2026-09-16 10:11:11"/>
    <x v="22"/>
    <s v="SPN"/>
    <n v="0"/>
    <x v="0"/>
  </r>
  <r>
    <s v="5374909801476"/>
    <n v="999882065355444"/>
    <s v="Fechado|已关闭"/>
    <s v="[LATAM] Delivery progress enquiry"/>
    <s v="2026-09-16 10:11:46"/>
    <x v="54"/>
    <s v="SPN"/>
    <s v="2026-09-16 11:16:17"/>
    <x v="1"/>
  </r>
  <r>
    <s v="5375888351748"/>
    <n v="999882018173931"/>
    <s v="Fechado|已关闭"/>
    <s v="[LATAM] Delivery progress enquiry"/>
    <s v="2026-09-16 10:12:34"/>
    <x v="63"/>
    <s v="SPN"/>
    <s v="2026-09-16 11:31:10"/>
    <x v="1"/>
  </r>
  <r>
    <s v="5375617287428"/>
    <n v="999882054649900"/>
    <s v="Fechado|已关闭"/>
    <s v="[LATAM] Delivery progress enquiry"/>
    <s v="2026-09-16 10:12:40"/>
    <x v="67"/>
    <s v="SPN"/>
    <n v="0"/>
    <x v="0"/>
  </r>
  <r>
    <s v="5374909927684"/>
    <n v="999882024635688"/>
    <s v="Processamento concluído|处理完成"/>
    <s v="[LATAM] Delivery progress enquiry"/>
    <s v="2026-09-16 10:16:55"/>
    <x v="11"/>
    <s v="SPN"/>
    <n v="0"/>
    <x v="0"/>
  </r>
  <r>
    <s v="5374862065924"/>
    <n v="999881951116521"/>
    <s v="Fechado|已关闭"/>
    <s v="[LATAM] Delivery progress enquiry"/>
    <s v="2026-09-16 10:20:54"/>
    <x v="78"/>
    <s v="SPN"/>
    <s v="2026-09-16 11:33:45"/>
    <x v="1"/>
  </r>
  <r>
    <s v="5375522638852"/>
    <n v="999882071742675"/>
    <s v="Fechado|已关闭"/>
    <s v="[LATAM] Delivery progress enquiry"/>
    <s v="2026-09-16 10:23:02"/>
    <x v="69"/>
    <s v="SPN"/>
    <n v="0"/>
    <x v="0"/>
  </r>
  <r>
    <s v="5374115743492"/>
    <n v="999881943701592"/>
    <s v="Fechado|已关闭"/>
    <s v="[LATAM] Delivery progress enquiry"/>
    <s v="2026-09-16 10:29:33"/>
    <x v="15"/>
    <s v="SPN"/>
    <n v="0"/>
    <x v="0"/>
  </r>
  <r>
    <s v="5375888840452"/>
    <n v="999881978150540"/>
    <s v="Fechado|已关闭"/>
    <s v="[LATAM] Delivery progress enquiry"/>
    <s v="2026-09-16 10:32:09"/>
    <x v="24"/>
    <s v="SPN"/>
    <n v="0"/>
    <x v="0"/>
  </r>
  <r>
    <s v="5375017523716"/>
    <n v="999882062884143"/>
    <s v="Processamento concluído|处理完成"/>
    <s v="[LATAM] Delivery progress enquiry"/>
    <s v="2026-09-16 10:32:39"/>
    <x v="28"/>
    <s v="SPN"/>
    <n v="0"/>
    <x v="0"/>
  </r>
  <r>
    <s v="5375447475716"/>
    <n v="999882053881015"/>
    <s v="Fechado|已关闭"/>
    <s v="[LATAM] Delivery progress enquiry"/>
    <s v="2026-09-16 10:33:45"/>
    <x v="79"/>
    <s v="SPN"/>
    <n v="0"/>
    <x v="0"/>
  </r>
  <r>
    <s v="5375017564164"/>
    <n v="999882061917774"/>
    <s v="Processamento concluído|处理完成"/>
    <s v="[LATAM] Delivery progress enquiry"/>
    <s v="2026-09-16 10:34:08"/>
    <x v="28"/>
    <s v="SPN"/>
    <n v="0"/>
    <x v="0"/>
  </r>
  <r>
    <s v="5374931003652"/>
    <n v="999882015712625"/>
    <s v="Pendente de processamento|待处理"/>
    <s v="[LATAM] Delivery progress enquiry"/>
    <s v="2026-09-16 10:36:36"/>
    <x v="2"/>
    <s v="SPN"/>
    <s v="2026-09-16 10:35:17"/>
    <x v="1"/>
  </r>
  <r>
    <s v="5374116024580"/>
    <n v="999881994333584"/>
    <s v="Fechado|已关闭"/>
    <s v="[LATAM] Delivery progress enquiry"/>
    <s v="2026-09-16 10:38:50"/>
    <x v="68"/>
    <s v="SPN"/>
    <s v="2026-09-16 11:02:04"/>
    <x v="1"/>
  </r>
  <r>
    <s v="5376337953796"/>
    <n v="999882064609048"/>
    <s v="Fechado|已关闭"/>
    <s v="[LATAM] Delivery progress enquiry"/>
    <s v="2026-09-16 10:41:31"/>
    <x v="80"/>
    <s v="SPN"/>
    <n v="0"/>
    <x v="0"/>
  </r>
  <r>
    <s v="5376077140740"/>
    <n v="999882009036025"/>
    <s v="Pendente de atribuição|待分配"/>
    <s v="[LATAM] Delivery progress enquiry"/>
    <s v="2026-09-16 10:42:01"/>
    <x v="14"/>
    <s v="SPN"/>
    <n v="0"/>
    <x v="0"/>
  </r>
  <r>
    <s v="5375887628548"/>
    <n v="999882006850070"/>
    <s v="Pendente de atribuição|待分配"/>
    <s v="[LATAM] Delivery progress enquiry"/>
    <s v="2026-09-16 10:45:43"/>
    <x v="27"/>
    <s v="SPN"/>
    <n v="0"/>
    <x v="0"/>
  </r>
  <r>
    <s v="5374124270084"/>
    <n v="999882055443509"/>
    <s v="Pendente de atribuição|待分配"/>
    <s v="[LATAM] Delivery progress enquiry"/>
    <s v="2026-09-16 10:48:02"/>
    <x v="35"/>
    <s v="SPN"/>
    <n v="0"/>
    <x v="0"/>
  </r>
  <r>
    <s v="5375106800132"/>
    <n v="999882000336336"/>
    <s v="Pendente de processamento|待处理"/>
    <s v="[LATAM] Delivery progress enquiry"/>
    <s v="2026-09-16 10:54:56"/>
    <x v="11"/>
    <s v="SPN"/>
    <n v="0"/>
    <x v="0"/>
  </r>
  <r>
    <s v="5376077621764"/>
    <n v="999882005396685"/>
    <s v="Pendente de atribuição|待分配"/>
    <s v="[LATAM] Delivery progress enquiry"/>
    <s v="2026-09-16 10:56:55"/>
    <x v="29"/>
    <s v="SPN"/>
    <n v="0"/>
    <x v="0"/>
  </r>
  <r>
    <s v="5376353285892"/>
    <n v="999882065089065"/>
    <s v="Pendente de atribuição|待分配"/>
    <s v="[LATAM] Delivery progress enquiry"/>
    <s v="2026-09-16 11:01:37"/>
    <x v="36"/>
    <s v="SPN"/>
    <n v="0"/>
    <x v="0"/>
  </r>
  <r>
    <s v="5376344742916"/>
    <n v="999882007224474"/>
    <s v="Fechado|已关闭"/>
    <s v="[LATAM] Delivery progress enquiry"/>
    <s v="2026-09-16 11:02:16"/>
    <x v="81"/>
    <s v="SPN"/>
    <n v="0"/>
    <x v="0"/>
  </r>
  <r>
    <s v="5375627919108"/>
    <n v="999881990736664"/>
    <s v="Pendente de atribuição|待分配"/>
    <s v="[LATAM] Delivery progress enquiry"/>
    <s v="2026-09-16 11:03:06"/>
    <x v="48"/>
    <s v="SPN"/>
    <n v="0"/>
    <x v="0"/>
  </r>
  <r>
    <s v="5374915352580"/>
    <n v="999882058556338"/>
    <s v="Fechado|已关闭"/>
    <s v="[LATAM] Delivery progress enquiry"/>
    <s v="2026-09-16 11:03:48"/>
    <x v="82"/>
    <s v="SPN"/>
    <n v="0"/>
    <x v="0"/>
  </r>
  <r>
    <s v="5374770299140"/>
    <n v="999882026167461"/>
    <s v="Pendente de processamento|待处理"/>
    <s v="[LATAM] Delivery progress enquiry"/>
    <s v="2026-09-16 11:12:16"/>
    <x v="38"/>
    <s v="SPN"/>
    <n v="0"/>
    <x v="0"/>
  </r>
  <r>
    <s v="5375046197764"/>
    <n v="999882058050755"/>
    <s v="Fechado|已关闭"/>
    <s v="[LATAM] Delivery progress enquiry"/>
    <s v="2026-09-16 11:13:57"/>
    <x v="38"/>
    <s v="SPN"/>
    <s v="2026-09-16 11:39:51"/>
    <x v="1"/>
  </r>
  <r>
    <s v="5375931454980"/>
    <n v="999882072610601"/>
    <s v="Fechado|已关闭"/>
    <s v="[LATAM] Delivery progress enquiry"/>
    <s v="2026-09-16 11:15:00"/>
    <x v="22"/>
    <s v="SPN"/>
    <n v="0"/>
    <x v="0"/>
  </r>
  <r>
    <s v="5375628231172"/>
    <n v="999882037083735"/>
    <s v="Pendente de atribuição|待分配"/>
    <s v="[LATAM] Delivery progress enquiry"/>
    <s v="2026-09-16 11:15:10"/>
    <x v="14"/>
    <s v="SPN"/>
    <n v="0"/>
    <x v="0"/>
  </r>
  <r>
    <s v="5375466036996"/>
    <n v="999882060942234"/>
    <s v="Pendente de atribuição|待分配"/>
    <s v="[LATAM] Delivery progress enquiry"/>
    <s v="2026-09-16 11:17:35"/>
    <x v="25"/>
    <s v="SPN"/>
    <n v="0"/>
    <x v="0"/>
  </r>
  <r>
    <s v="5375931548420"/>
    <n v="999882053775715"/>
    <s v="Fechado|已关闭"/>
    <s v="[LATAM] Delivery progress enquiry"/>
    <s v="2026-09-16 11:18:35"/>
    <x v="83"/>
    <s v="SPN"/>
    <n v="0"/>
    <x v="0"/>
  </r>
  <r>
    <s v="5376090831620"/>
    <n v="999882047819177"/>
    <s v="Fechado|已关闭"/>
    <s v="[LATAM] Delivery progress enquiry"/>
    <s v="2026-09-16 11:22:20"/>
    <x v="46"/>
    <s v="SPN"/>
    <n v="0"/>
    <x v="0"/>
  </r>
  <r>
    <s v="5375641097220"/>
    <n v="999882029717801"/>
    <s v="Pendente de processamento|待处理"/>
    <s v="[LATAM] Delivery progress enquiry"/>
    <s v="2026-09-16 11:24:48"/>
    <x v="21"/>
    <s v="SPN"/>
    <n v="0"/>
    <x v="0"/>
  </r>
  <r>
    <s v="5375834847492"/>
    <n v="999882042981821"/>
    <s v="Pendente de processamento|待处理"/>
    <s v="[LATAM] Delivery progress enquiry"/>
    <s v="2026-09-16 11:25:24"/>
    <x v="5"/>
    <s v="SPN"/>
    <n v="0"/>
    <x v="0"/>
  </r>
  <r>
    <s v="5375916649220"/>
    <n v="999882047819177"/>
    <s v="Fechado|已关闭"/>
    <s v="[LATAM] Delivery progress enquiry"/>
    <s v="2026-09-16 11:25:32"/>
    <x v="46"/>
    <s v="SPN"/>
    <n v="0"/>
    <x v="0"/>
  </r>
  <r>
    <s v="5375931802884"/>
    <n v="999882009992351"/>
    <s v="Pendente de processamento|待处理"/>
    <s v="[LATAM] Delivery progress enquiry"/>
    <s v="2026-09-16 11:28:13"/>
    <x v="7"/>
    <s v="SPN"/>
    <n v="0"/>
    <x v="0"/>
  </r>
  <r>
    <s v="5374770961924"/>
    <n v="999882012186247"/>
    <s v="Pendente de processamento|待处理"/>
    <s v="[LATAM] Delivery progress enquiry"/>
    <s v="2026-09-16 11:30:21"/>
    <x v="21"/>
    <s v="SPN"/>
    <n v="0"/>
    <x v="0"/>
  </r>
  <r>
    <s v="5374771055364"/>
    <n v="999882007207403"/>
    <s v="Pendente de atribuição|待分配"/>
    <s v="[LATAM] Delivery progress enquiry"/>
    <s v="2026-09-16 11:33:11"/>
    <x v="11"/>
    <s v="SPN"/>
    <n v="0"/>
    <x v="0"/>
  </r>
  <r>
    <s v="5374771080196"/>
    <n v="999881973998417"/>
    <s v="Pendente de atribuição|待分配"/>
    <s v="[LATAM] Delivery progress enquiry"/>
    <s v="2026-09-16 11:34:00"/>
    <x v="84"/>
    <s v="SPN"/>
    <n v="0"/>
    <x v="0"/>
  </r>
  <r>
    <s v="5375955631876"/>
    <n v="999882070517938"/>
    <s v="Fechado|已关闭"/>
    <s v="[LATAM] Delivery progress enquiry"/>
    <s v="2026-09-16 11:36:10"/>
    <x v="45"/>
    <s v="SPN"/>
    <n v="0"/>
    <x v="0"/>
  </r>
  <r>
    <s v="5376091525124"/>
    <n v="999881890587422"/>
    <s v="Fechado|已关闭"/>
    <s v="[LATAM] Delivery progress enquiry"/>
    <s v="2026-09-16 11:41:01"/>
    <x v="2"/>
    <s v="SPN"/>
    <n v="0"/>
    <x v="0"/>
  </r>
  <r>
    <s v="5376633053700"/>
    <n v="999881966030453"/>
    <s v="Pendente de atribuição|待分配"/>
    <s v="[LATAM] Delivery progress enquiry"/>
    <s v="2026-09-16 11:45:08"/>
    <x v="38"/>
    <s v="SPN"/>
    <n v="0"/>
    <x v="0"/>
  </r>
  <r>
    <s v="5375640116484"/>
    <n v="999882014771255"/>
    <s v="Pendente de atribuição|待分配"/>
    <s v="[LATAM] Delivery progress enquiry"/>
    <s v="2026-09-16 11:49:36"/>
    <x v="20"/>
    <s v="SPN"/>
    <n v="0"/>
    <x v="0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  <r>
    <m/>
    <m/>
    <m/>
    <m/>
    <m/>
    <x v="85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B530D-B03E-4FC9-A063-525A3BA0E7D7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F91" firstHeaderRow="1" firstDataRow="2" firstDataCol="1"/>
  <pivotFields count="9">
    <pivotField showAll="0"/>
    <pivotField showAll="0"/>
    <pivotField showAll="0"/>
    <pivotField showAll="0"/>
    <pivotField showAll="0"/>
    <pivotField axis="axisRow" dataField="1" showAll="0">
      <items count="115">
        <item m="1" x="98"/>
        <item x="5"/>
        <item x="19"/>
        <item x="37"/>
        <item x="25"/>
        <item x="40"/>
        <item x="39"/>
        <item x="24"/>
        <item x="13"/>
        <item x="7"/>
        <item x="42"/>
        <item x="34"/>
        <item x="3"/>
        <item x="33"/>
        <item x="36"/>
        <item x="31"/>
        <item m="1" x="94"/>
        <item x="28"/>
        <item x="47"/>
        <item x="69"/>
        <item m="1" x="93"/>
        <item m="1" x="106"/>
        <item m="1" x="91"/>
        <item m="1" x="113"/>
        <item x="10"/>
        <item m="1" x="99"/>
        <item x="74"/>
        <item x="82"/>
        <item m="1" x="97"/>
        <item x="6"/>
        <item x="79"/>
        <item m="1" x="112"/>
        <item x="44"/>
        <item m="1" x="89"/>
        <item m="1" x="96"/>
        <item x="17"/>
        <item x="61"/>
        <item m="1" x="103"/>
        <item m="1" x="109"/>
        <item x="32"/>
        <item x="26"/>
        <item x="43"/>
        <item x="70"/>
        <item x="58"/>
        <item x="63"/>
        <item x="71"/>
        <item x="49"/>
        <item m="1" x="105"/>
        <item x="46"/>
        <item x="60"/>
        <item x="4"/>
        <item m="1" x="86"/>
        <item m="1" x="87"/>
        <item x="54"/>
        <item x="1"/>
        <item x="45"/>
        <item x="72"/>
        <item m="1" x="111"/>
        <item x="59"/>
        <item x="22"/>
        <item x="73"/>
        <item x="80"/>
        <item x="83"/>
        <item m="1" x="101"/>
        <item x="68"/>
        <item x="76"/>
        <item x="53"/>
        <item x="77"/>
        <item m="1" x="88"/>
        <item x="62"/>
        <item x="57"/>
        <item x="66"/>
        <item x="16"/>
        <item x="48"/>
        <item x="56"/>
        <item x="29"/>
        <item x="8"/>
        <item x="9"/>
        <item x="27"/>
        <item x="78"/>
        <item x="14"/>
        <item x="23"/>
        <item x="2"/>
        <item x="15"/>
        <item x="0"/>
        <item x="18"/>
        <item x="38"/>
        <item x="12"/>
        <item x="20"/>
        <item x="11"/>
        <item x="21"/>
        <item x="30"/>
        <item x="84"/>
        <item x="85"/>
        <item x="41"/>
        <item x="52"/>
        <item x="65"/>
        <item m="1" x="104"/>
        <item m="1" x="108"/>
        <item m="1" x="102"/>
        <item x="51"/>
        <item m="1" x="110"/>
        <item x="64"/>
        <item m="1" x="92"/>
        <item m="1" x="100"/>
        <item x="75"/>
        <item x="67"/>
        <item m="1" x="95"/>
        <item m="1" x="90"/>
        <item x="55"/>
        <item m="1" x="107"/>
        <item x="81"/>
        <item x="35"/>
        <item x="50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5"/>
  </rowFields>
  <rowItems count="8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4"/>
    </i>
    <i>
      <x v="26"/>
    </i>
    <i>
      <x v="27"/>
    </i>
    <i>
      <x v="29"/>
    </i>
    <i>
      <x v="30"/>
    </i>
    <i>
      <x v="32"/>
    </i>
    <i>
      <x v="35"/>
    </i>
    <i>
      <x v="36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3"/>
    </i>
    <i>
      <x v="54"/>
    </i>
    <i>
      <x v="55"/>
    </i>
    <i>
      <x v="56"/>
    </i>
    <i>
      <x v="58"/>
    </i>
    <i>
      <x v="59"/>
    </i>
    <i>
      <x v="60"/>
    </i>
    <i>
      <x v="61"/>
    </i>
    <i>
      <x v="62"/>
    </i>
    <i>
      <x v="64"/>
    </i>
    <i>
      <x v="65"/>
    </i>
    <i>
      <x v="66"/>
    </i>
    <i>
      <x v="67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100"/>
    </i>
    <i>
      <x v="102"/>
    </i>
    <i>
      <x v="105"/>
    </i>
    <i>
      <x v="106"/>
    </i>
    <i>
      <x v="109"/>
    </i>
    <i>
      <x v="111"/>
    </i>
    <i>
      <x v="112"/>
    </i>
    <i>
      <x v="113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ntagem de 派件网点 Base de Entrega" fld="5" subtotal="count" baseField="0" baseItem="0"/>
  </dataFields>
  <formats count="11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8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5" type="button" dataOnly="0" labelOnly="1" outline="0" axis="axisRow" fieldPosition="0"/>
    </format>
    <format dxfId="17">
      <pivotArea dataOnly="0" labelOnly="1" fieldPosition="0">
        <references count="1">
          <reference field="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fieldPosition="0">
        <references count="1">
          <reference field="5" count="4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</reference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8" count="0"/>
        </references>
      </pivotArea>
    </format>
    <format dxfId="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9BEA-6200-4750-B722-6DA686BE7AB6}">
  <dimension ref="A1:H88"/>
  <sheetViews>
    <sheetView workbookViewId="0">
      <selection activeCell="M40" sqref="M40"/>
    </sheetView>
  </sheetViews>
  <sheetFormatPr defaultRowHeight="15" x14ac:dyDescent="0.25"/>
  <cols>
    <col min="1" max="2" width="16.7109375" customWidth="1"/>
    <col min="3" max="3" width="25.140625" customWidth="1"/>
    <col min="4" max="4" width="13.28515625" customWidth="1"/>
    <col min="5" max="5" width="14.5703125" customWidth="1"/>
    <col min="6" max="6" width="17.5703125" customWidth="1"/>
  </cols>
  <sheetData>
    <row r="1" spans="1:6" ht="23.25" customHeight="1" x14ac:dyDescent="0.35">
      <c r="A1" s="43" t="s">
        <v>31</v>
      </c>
      <c r="B1" s="43"/>
      <c r="C1" s="43"/>
      <c r="D1" s="43"/>
      <c r="E1" s="43"/>
      <c r="F1" s="43"/>
    </row>
    <row r="2" spans="1:6" x14ac:dyDescent="0.25">
      <c r="A2" s="5" t="s">
        <v>143</v>
      </c>
      <c r="B2" s="5" t="s">
        <v>0</v>
      </c>
      <c r="C2" s="7" t="s">
        <v>1</v>
      </c>
      <c r="D2" s="5" t="s">
        <v>2</v>
      </c>
      <c r="E2" s="5" t="s">
        <v>3</v>
      </c>
      <c r="F2" s="5" t="s">
        <v>4</v>
      </c>
    </row>
    <row r="3" spans="1:6" x14ac:dyDescent="0.25">
      <c r="A3" s="5" t="s">
        <v>143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</row>
    <row r="4" spans="1:6" x14ac:dyDescent="0.25">
      <c r="A4" s="31" t="str">
        <f>_xlfn.XLOOKUP(B4,RM!A:A,RM!B:B,2,0)</f>
        <v>Thiago Santos</v>
      </c>
      <c r="B4" s="13" t="s">
        <v>24</v>
      </c>
      <c r="C4" s="1">
        <f t="shared" ref="C4:C35" si="0">E4/D4</f>
        <v>0.3125</v>
      </c>
      <c r="D4" s="2">
        <f>_xlfn.XLOOKUP(B4,din!B:B,din!F:F)</f>
        <v>32</v>
      </c>
      <c r="E4" s="2">
        <f>_xlfn.XLOOKUP(B4,din!B:B,din!D:D)</f>
        <v>10</v>
      </c>
      <c r="F4" s="3">
        <f>_xlfn.XLOOKUP(B4,din!B:B,din!C:C)</f>
        <v>22</v>
      </c>
    </row>
    <row r="5" spans="1:6" x14ac:dyDescent="0.25">
      <c r="A5" s="31" t="str">
        <f>_xlfn.XLOOKUP(B5,RM!A:A,RM!B:B,2,0)</f>
        <v>Thiago Santos</v>
      </c>
      <c r="B5" s="13" t="s">
        <v>38</v>
      </c>
      <c r="C5" s="1">
        <f t="shared" si="0"/>
        <v>0.36363636363636365</v>
      </c>
      <c r="D5" s="2">
        <f>_xlfn.XLOOKUP(B5,din!B:B,din!F:F)</f>
        <v>22</v>
      </c>
      <c r="E5" s="2">
        <f>_xlfn.XLOOKUP(B5,din!B:B,din!D:D)</f>
        <v>8</v>
      </c>
      <c r="F5" s="3">
        <f>_xlfn.XLOOKUP(B5,din!B:B,din!C:C)</f>
        <v>14</v>
      </c>
    </row>
    <row r="6" spans="1:6" x14ac:dyDescent="0.25">
      <c r="A6" s="31" t="str">
        <f>_xlfn.XLOOKUP(B6,RM!A:A,RM!B:B,2,0)</f>
        <v>Danilo Gomes</v>
      </c>
      <c r="B6" s="13" t="s">
        <v>39</v>
      </c>
      <c r="C6" s="1">
        <f t="shared" si="0"/>
        <v>0.58620689655172409</v>
      </c>
      <c r="D6" s="2">
        <f>_xlfn.XLOOKUP(B6,din!B:B,din!F:F)</f>
        <v>29</v>
      </c>
      <c r="E6" s="2">
        <f>_xlfn.XLOOKUP(B6,din!B:B,din!D:D)</f>
        <v>17</v>
      </c>
      <c r="F6" s="3">
        <f>_xlfn.XLOOKUP(B6,din!B:B,din!C:C)</f>
        <v>12</v>
      </c>
    </row>
    <row r="7" spans="1:6" x14ac:dyDescent="0.25">
      <c r="A7" s="31" t="str">
        <f>_xlfn.XLOOKUP(B7,RM!A:A,RM!B:B,2,0)</f>
        <v>Danilo Gomes</v>
      </c>
      <c r="B7" s="13" t="s">
        <v>34</v>
      </c>
      <c r="C7" s="1">
        <f t="shared" si="0"/>
        <v>0.33333333333333331</v>
      </c>
      <c r="D7" s="2">
        <f>_xlfn.XLOOKUP(B7,din!B:B,din!F:F)</f>
        <v>15</v>
      </c>
      <c r="E7" s="2">
        <f>_xlfn.XLOOKUP(B7,din!B:B,din!D:D)</f>
        <v>5</v>
      </c>
      <c r="F7" s="3">
        <f>_xlfn.XLOOKUP(B7,din!B:B,din!C:C)</f>
        <v>10</v>
      </c>
    </row>
    <row r="8" spans="1:6" x14ac:dyDescent="0.25">
      <c r="A8" s="31" t="str">
        <f>_xlfn.XLOOKUP(B8,RM!A:A,RM!B:B,2,0)</f>
        <v>Danilo Gomes</v>
      </c>
      <c r="B8" s="13" t="s">
        <v>15</v>
      </c>
      <c r="C8" s="1">
        <f t="shared" si="0"/>
        <v>0.2</v>
      </c>
      <c r="D8" s="2">
        <f>_xlfn.XLOOKUP(B8,din!B:B,din!F:F)</f>
        <v>10</v>
      </c>
      <c r="E8" s="2">
        <f>_xlfn.XLOOKUP(B8,din!B:B,din!D:D)</f>
        <v>2</v>
      </c>
      <c r="F8" s="3">
        <f>_xlfn.XLOOKUP(B8,din!B:B,din!C:C)</f>
        <v>8</v>
      </c>
    </row>
    <row r="9" spans="1:6" x14ac:dyDescent="0.25">
      <c r="A9" s="31" t="str">
        <f>_xlfn.XLOOKUP(B9,RM!A:A,RM!B:B,2,0)</f>
        <v>Thiago Santos</v>
      </c>
      <c r="B9" s="13" t="s">
        <v>64</v>
      </c>
      <c r="C9" s="1">
        <f t="shared" si="0"/>
        <v>0.38461538461538464</v>
      </c>
      <c r="D9" s="2">
        <f>_xlfn.XLOOKUP(B9,din!B:B,din!F:F)</f>
        <v>13</v>
      </c>
      <c r="E9" s="2">
        <f>_xlfn.XLOOKUP(B9,din!B:B,din!D:D)</f>
        <v>5</v>
      </c>
      <c r="F9" s="3">
        <f>_xlfn.XLOOKUP(B9,din!B:B,din!C:C)</f>
        <v>8</v>
      </c>
    </row>
    <row r="10" spans="1:6" x14ac:dyDescent="0.25">
      <c r="A10" s="31" t="str">
        <f>_xlfn.XLOOKUP(B10,RM!A:A,RM!B:B,2,0)</f>
        <v>Thiago Santos</v>
      </c>
      <c r="B10" s="13" t="s">
        <v>25</v>
      </c>
      <c r="C10" s="1">
        <f t="shared" si="0"/>
        <v>0.3</v>
      </c>
      <c r="D10" s="2">
        <f>_xlfn.XLOOKUP(B10,din!B:B,din!F:F)</f>
        <v>10</v>
      </c>
      <c r="E10" s="2">
        <f>_xlfn.XLOOKUP(B10,din!B:B,din!D:D)</f>
        <v>3</v>
      </c>
      <c r="F10" s="3">
        <f>_xlfn.XLOOKUP(B10,din!B:B,din!C:C)</f>
        <v>7</v>
      </c>
    </row>
    <row r="11" spans="1:6" x14ac:dyDescent="0.25">
      <c r="A11" s="31" t="str">
        <f>_xlfn.XLOOKUP(B11,RM!A:A,RM!B:B,2,0)</f>
        <v>Thiago Santos</v>
      </c>
      <c r="B11" s="13" t="s">
        <v>27</v>
      </c>
      <c r="C11" s="1">
        <f t="shared" si="0"/>
        <v>0.5</v>
      </c>
      <c r="D11" s="2">
        <f>_xlfn.XLOOKUP(B11,din!B:B,din!F:F)</f>
        <v>12</v>
      </c>
      <c r="E11" s="2">
        <f>_xlfn.XLOOKUP(B11,din!B:B,din!D:D)</f>
        <v>6</v>
      </c>
      <c r="F11" s="3">
        <f>_xlfn.XLOOKUP(B11,din!B:B,din!C:C)</f>
        <v>6</v>
      </c>
    </row>
    <row r="12" spans="1:6" x14ac:dyDescent="0.25">
      <c r="A12" s="31" t="str">
        <f>_xlfn.XLOOKUP(B12,RM!A:A,RM!B:B,2,0)</f>
        <v>Danilo Gomes</v>
      </c>
      <c r="B12" s="13" t="s">
        <v>26</v>
      </c>
      <c r="C12" s="1">
        <f t="shared" si="0"/>
        <v>0.5</v>
      </c>
      <c r="D12" s="2">
        <f>_xlfn.XLOOKUP(B12,din!B:B,din!F:F)</f>
        <v>12</v>
      </c>
      <c r="E12" s="2">
        <f>_xlfn.XLOOKUP(B12,din!B:B,din!D:D)</f>
        <v>6</v>
      </c>
      <c r="F12" s="3">
        <f>_xlfn.XLOOKUP(B12,din!B:B,din!C:C)</f>
        <v>6</v>
      </c>
    </row>
    <row r="13" spans="1:6" x14ac:dyDescent="0.25">
      <c r="A13" s="31" t="str">
        <f>_xlfn.XLOOKUP(B13,RM!A:A,RM!B:B,2,0)</f>
        <v>Danilo Gomes</v>
      </c>
      <c r="B13" s="13" t="s">
        <v>17</v>
      </c>
      <c r="C13" s="1">
        <f t="shared" si="0"/>
        <v>0.45454545454545453</v>
      </c>
      <c r="D13" s="2">
        <f>_xlfn.XLOOKUP(B13,din!B:B,din!F:F)</f>
        <v>11</v>
      </c>
      <c r="E13" s="2">
        <f>_xlfn.XLOOKUP(B13,din!B:B,din!D:D)</f>
        <v>5</v>
      </c>
      <c r="F13" s="3">
        <f>_xlfn.XLOOKUP(B13,din!B:B,din!C:C)</f>
        <v>6</v>
      </c>
    </row>
    <row r="14" spans="1:6" x14ac:dyDescent="0.25">
      <c r="A14" s="31" t="str">
        <f>_xlfn.XLOOKUP(B14,RM!A:A,RM!B:B,2,0)</f>
        <v>Danilo Gomes</v>
      </c>
      <c r="B14" s="13" t="s">
        <v>95</v>
      </c>
      <c r="C14" s="1">
        <f t="shared" si="0"/>
        <v>0.33333333333333331</v>
      </c>
      <c r="D14" s="2">
        <f>_xlfn.XLOOKUP(B14,din!B:B,din!F:F)</f>
        <v>9</v>
      </c>
      <c r="E14" s="2">
        <f>_xlfn.XLOOKUP(B14,din!B:B,din!D:D)</f>
        <v>3</v>
      </c>
      <c r="F14" s="3">
        <f>_xlfn.XLOOKUP(B14,din!B:B,din!C:C)</f>
        <v>6</v>
      </c>
    </row>
    <row r="15" spans="1:6" x14ac:dyDescent="0.25">
      <c r="A15" s="31" t="str">
        <f>_xlfn.XLOOKUP(B15,RM!A:A,RM!B:B,2,0)</f>
        <v>Thiago Santos</v>
      </c>
      <c r="B15" s="13" t="s">
        <v>110</v>
      </c>
      <c r="C15" s="1">
        <f t="shared" si="0"/>
        <v>0.44444444444444442</v>
      </c>
      <c r="D15" s="2">
        <f>_xlfn.XLOOKUP(B15,din!B:B,din!F:F)</f>
        <v>9</v>
      </c>
      <c r="E15" s="2">
        <f>_xlfn.XLOOKUP(B15,din!B:B,din!D:D)</f>
        <v>4</v>
      </c>
      <c r="F15" s="3">
        <f>_xlfn.XLOOKUP(B15,din!B:B,din!C:C)</f>
        <v>5</v>
      </c>
    </row>
    <row r="16" spans="1:6" x14ac:dyDescent="0.25">
      <c r="A16" s="31" t="str">
        <f>_xlfn.XLOOKUP(B16,RM!A:A,RM!B:B,2,0)</f>
        <v>Thiago Santos</v>
      </c>
      <c r="B16" s="13" t="s">
        <v>44</v>
      </c>
      <c r="C16" s="1">
        <f t="shared" si="0"/>
        <v>0.375</v>
      </c>
      <c r="D16" s="2">
        <f>_xlfn.XLOOKUP(B16,din!B:B,din!F:F)</f>
        <v>8</v>
      </c>
      <c r="E16" s="2">
        <f>_xlfn.XLOOKUP(B16,din!B:B,din!D:D)</f>
        <v>3</v>
      </c>
      <c r="F16" s="3">
        <f>_xlfn.XLOOKUP(B16,din!B:B,din!C:C)</f>
        <v>5</v>
      </c>
    </row>
    <row r="17" spans="1:6" x14ac:dyDescent="0.25">
      <c r="A17" s="31" t="str">
        <f>_xlfn.XLOOKUP(B17,RM!A:A,RM!B:B,2,0)</f>
        <v>Thiago Santos</v>
      </c>
      <c r="B17" s="13" t="s">
        <v>139</v>
      </c>
      <c r="C17" s="1">
        <f t="shared" si="0"/>
        <v>0.16666666666666666</v>
      </c>
      <c r="D17" s="2">
        <f>_xlfn.XLOOKUP(B17,din!B:B,din!F:F)</f>
        <v>6</v>
      </c>
      <c r="E17" s="2">
        <f>_xlfn.XLOOKUP(B17,din!B:B,din!D:D)</f>
        <v>1</v>
      </c>
      <c r="F17" s="3">
        <f>_xlfn.XLOOKUP(B17,din!B:B,din!C:C)</f>
        <v>5</v>
      </c>
    </row>
    <row r="18" spans="1:6" x14ac:dyDescent="0.25">
      <c r="A18" s="31" t="str">
        <f>_xlfn.XLOOKUP(B18,RM!A:A,RM!B:B,2,0)</f>
        <v>Thiago Santos</v>
      </c>
      <c r="B18" s="13" t="s">
        <v>92</v>
      </c>
      <c r="C18" s="1">
        <f t="shared" si="0"/>
        <v>0.42857142857142855</v>
      </c>
      <c r="D18" s="2">
        <f>_xlfn.XLOOKUP(B18,din!B:B,din!F:F)</f>
        <v>7</v>
      </c>
      <c r="E18" s="2">
        <f>_xlfn.XLOOKUP(B18,din!B:B,din!D:D)</f>
        <v>3</v>
      </c>
      <c r="F18" s="3">
        <f>_xlfn.XLOOKUP(B18,din!B:B,din!C:C)</f>
        <v>4</v>
      </c>
    </row>
    <row r="19" spans="1:6" x14ac:dyDescent="0.25">
      <c r="A19" s="31" t="str">
        <f>_xlfn.XLOOKUP(B19,RM!A:A,RM!B:B,2,0)</f>
        <v>Danilo Gomes</v>
      </c>
      <c r="B19" s="13" t="s">
        <v>23</v>
      </c>
      <c r="C19" s="1">
        <f t="shared" si="0"/>
        <v>0.55555555555555558</v>
      </c>
      <c r="D19" s="2">
        <f>_xlfn.XLOOKUP(B19,din!B:B,din!F:F)</f>
        <v>9</v>
      </c>
      <c r="E19" s="2">
        <f>_xlfn.XLOOKUP(B19,din!B:B,din!D:D)</f>
        <v>5</v>
      </c>
      <c r="F19" s="3">
        <f>_xlfn.XLOOKUP(B19,din!B:B,din!C:C)</f>
        <v>4</v>
      </c>
    </row>
    <row r="20" spans="1:6" x14ac:dyDescent="0.25">
      <c r="A20" s="31" t="str">
        <f>_xlfn.XLOOKUP(B20,RM!A:A,RM!B:B,2,0)</f>
        <v>Danilo Gomes</v>
      </c>
      <c r="B20" s="13" t="s">
        <v>22</v>
      </c>
      <c r="C20" s="1">
        <f t="shared" si="0"/>
        <v>0.33333333333333331</v>
      </c>
      <c r="D20" s="2">
        <f>_xlfn.XLOOKUP(B20,din!B:B,din!F:F)</f>
        <v>6</v>
      </c>
      <c r="E20" s="2">
        <f>_xlfn.XLOOKUP(B20,din!B:B,din!D:D)</f>
        <v>2</v>
      </c>
      <c r="F20" s="3">
        <f>_xlfn.XLOOKUP(B20,din!B:B,din!C:C)</f>
        <v>4</v>
      </c>
    </row>
    <row r="21" spans="1:6" x14ac:dyDescent="0.25">
      <c r="A21" s="31" t="str">
        <f>_xlfn.XLOOKUP(B21,RM!A:A,RM!B:B,2,0)</f>
        <v>Thiago Santos</v>
      </c>
      <c r="B21" s="13" t="s">
        <v>20</v>
      </c>
      <c r="C21" s="1">
        <f t="shared" si="0"/>
        <v>0.5714285714285714</v>
      </c>
      <c r="D21" s="2">
        <f>_xlfn.XLOOKUP(B21,din!B:B,din!F:F)</f>
        <v>7</v>
      </c>
      <c r="E21" s="2">
        <f>_xlfn.XLOOKUP(B21,din!B:B,din!D:D)</f>
        <v>4</v>
      </c>
      <c r="F21" s="3">
        <f>_xlfn.XLOOKUP(B21,din!B:B,din!C:C)</f>
        <v>3</v>
      </c>
    </row>
    <row r="22" spans="1:6" x14ac:dyDescent="0.25">
      <c r="A22" s="31" t="str">
        <f>_xlfn.XLOOKUP(B22,RM!A:A,RM!B:B,2,0)</f>
        <v>Danilo Gomes</v>
      </c>
      <c r="B22" s="13" t="s">
        <v>73</v>
      </c>
      <c r="C22" s="1">
        <f t="shared" si="0"/>
        <v>0.5</v>
      </c>
      <c r="D22" s="2">
        <f>_xlfn.XLOOKUP(B22,din!B:B,din!F:F)</f>
        <v>6</v>
      </c>
      <c r="E22" s="2">
        <f>_xlfn.XLOOKUP(B22,din!B:B,din!D:D)</f>
        <v>3</v>
      </c>
      <c r="F22" s="3">
        <f>_xlfn.XLOOKUP(B22,din!B:B,din!C:C)</f>
        <v>3</v>
      </c>
    </row>
    <row r="23" spans="1:6" x14ac:dyDescent="0.25">
      <c r="A23" s="31" t="str">
        <f>_xlfn.XLOOKUP(B23,RM!A:A,RM!B:B,2,0)</f>
        <v>Danilo Gomes</v>
      </c>
      <c r="B23" s="13" t="s">
        <v>74</v>
      </c>
      <c r="C23" s="1">
        <f t="shared" si="0"/>
        <v>0</v>
      </c>
      <c r="D23" s="2">
        <f>_xlfn.XLOOKUP(B23,din!B:B,din!F:F)</f>
        <v>3</v>
      </c>
      <c r="E23" s="2">
        <f>_xlfn.XLOOKUP(B23,din!B:B,din!D:D)</f>
        <v>0</v>
      </c>
      <c r="F23" s="3">
        <f>_xlfn.XLOOKUP(B23,din!B:B,din!C:C)</f>
        <v>3</v>
      </c>
    </row>
    <row r="24" spans="1:6" x14ac:dyDescent="0.25">
      <c r="A24" s="31" t="str">
        <f>_xlfn.XLOOKUP(B24,RM!A:A,RM!B:B,2,0)</f>
        <v>Thiago Santos</v>
      </c>
      <c r="B24" s="13" t="s">
        <v>100</v>
      </c>
      <c r="C24" s="1">
        <f t="shared" si="0"/>
        <v>0.6</v>
      </c>
      <c r="D24" s="2">
        <f>_xlfn.XLOOKUP(B24,din!B:B,din!F:F)</f>
        <v>5</v>
      </c>
      <c r="E24" s="2">
        <f>_xlfn.XLOOKUP(B24,din!B:B,din!D:D)</f>
        <v>3</v>
      </c>
      <c r="F24" s="4">
        <f>_xlfn.XLOOKUP(B24,din!B:B,din!C:C)</f>
        <v>2</v>
      </c>
    </row>
    <row r="25" spans="1:6" x14ac:dyDescent="0.25">
      <c r="A25" s="31" t="str">
        <f>_xlfn.XLOOKUP(B25,RM!A:A,RM!B:B,2,0)</f>
        <v>Thiago Santos</v>
      </c>
      <c r="B25" s="13" t="s">
        <v>60</v>
      </c>
      <c r="C25" s="1">
        <f t="shared" si="0"/>
        <v>0.5</v>
      </c>
      <c r="D25" s="2">
        <f>_xlfn.XLOOKUP(B25,din!B:B,din!F:F)</f>
        <v>4</v>
      </c>
      <c r="E25" s="2">
        <f>_xlfn.XLOOKUP(B25,din!B:B,din!D:D)</f>
        <v>2</v>
      </c>
      <c r="F25" s="4">
        <f>_xlfn.XLOOKUP(B25,din!B:B,din!C:C)</f>
        <v>2</v>
      </c>
    </row>
    <row r="26" spans="1:6" x14ac:dyDescent="0.25">
      <c r="A26" s="31" t="str">
        <f>_xlfn.XLOOKUP(B26,RM!A:A,RM!B:B,2,0)</f>
        <v>Danilo Gomes</v>
      </c>
      <c r="B26" s="13" t="s">
        <v>113</v>
      </c>
      <c r="C26" s="1">
        <f t="shared" si="0"/>
        <v>0</v>
      </c>
      <c r="D26" s="2">
        <f>_xlfn.XLOOKUP(B26,din!B:B,din!F:F)</f>
        <v>2</v>
      </c>
      <c r="E26" s="2">
        <f>_xlfn.XLOOKUP(B26,din!B:B,din!D:D)</f>
        <v>0</v>
      </c>
      <c r="F26" s="4">
        <f>_xlfn.XLOOKUP(B26,din!B:B,din!C:C)</f>
        <v>2</v>
      </c>
    </row>
    <row r="27" spans="1:6" x14ac:dyDescent="0.25">
      <c r="A27" s="31" t="str">
        <f>_xlfn.XLOOKUP(B27,RM!A:A,RM!B:B,2,0)</f>
        <v>Danilo Gomes</v>
      </c>
      <c r="B27" s="13" t="s">
        <v>18</v>
      </c>
      <c r="C27" s="1">
        <f t="shared" si="0"/>
        <v>0.6</v>
      </c>
      <c r="D27" s="2">
        <f>_xlfn.XLOOKUP(B27,din!B:B,din!F:F)</f>
        <v>5</v>
      </c>
      <c r="E27" s="2">
        <f>_xlfn.XLOOKUP(B27,din!B:B,din!D:D)</f>
        <v>3</v>
      </c>
      <c r="F27" s="4">
        <f>_xlfn.XLOOKUP(B27,din!B:B,din!C:C)</f>
        <v>2</v>
      </c>
    </row>
    <row r="28" spans="1:6" x14ac:dyDescent="0.25">
      <c r="A28" s="31" t="str">
        <f>_xlfn.XLOOKUP(B28,RM!A:A,RM!B:B,2,0)</f>
        <v>Danilo Gomes</v>
      </c>
      <c r="B28" s="13" t="s">
        <v>63</v>
      </c>
      <c r="C28" s="1">
        <f t="shared" si="0"/>
        <v>0</v>
      </c>
      <c r="D28" s="2">
        <f>_xlfn.XLOOKUP(B28,din!B:B,din!F:F)</f>
        <v>2</v>
      </c>
      <c r="E28" s="2">
        <f>_xlfn.XLOOKUP(B28,din!B:B,din!D:D)</f>
        <v>0</v>
      </c>
      <c r="F28" s="4">
        <f>_xlfn.XLOOKUP(B28,din!B:B,din!C:C)</f>
        <v>2</v>
      </c>
    </row>
    <row r="29" spans="1:6" x14ac:dyDescent="0.25">
      <c r="A29" s="31" t="str">
        <f>_xlfn.XLOOKUP(B29,RM!A:A,RM!B:B,2,0)</f>
        <v>Thiago Santos</v>
      </c>
      <c r="B29" s="13" t="s">
        <v>72</v>
      </c>
      <c r="C29" s="1">
        <f t="shared" si="0"/>
        <v>0.5</v>
      </c>
      <c r="D29" s="2">
        <f>_xlfn.XLOOKUP(B29,din!B:B,din!F:F)</f>
        <v>4</v>
      </c>
      <c r="E29" s="2">
        <f>_xlfn.XLOOKUP(B29,din!B:B,din!D:D)</f>
        <v>2</v>
      </c>
      <c r="F29" s="4">
        <f>_xlfn.XLOOKUP(B29,din!B:B,din!C:C)</f>
        <v>2</v>
      </c>
    </row>
    <row r="30" spans="1:6" x14ac:dyDescent="0.25">
      <c r="A30" s="31" t="str">
        <f>_xlfn.XLOOKUP(B30,RM!A:A,RM!B:B,2,0)</f>
        <v>Danilo Gomes</v>
      </c>
      <c r="B30" s="13" t="s">
        <v>126</v>
      </c>
      <c r="C30" s="1">
        <f t="shared" si="0"/>
        <v>0.33333333333333331</v>
      </c>
      <c r="D30" s="2">
        <f>_xlfn.XLOOKUP(B30,din!B:B,din!F:F)</f>
        <v>3</v>
      </c>
      <c r="E30" s="2">
        <f>_xlfn.XLOOKUP(B30,din!B:B,din!D:D)</f>
        <v>1</v>
      </c>
      <c r="F30" s="4">
        <f>_xlfn.XLOOKUP(B30,din!B:B,din!C:C)</f>
        <v>2</v>
      </c>
    </row>
    <row r="31" spans="1:6" x14ac:dyDescent="0.25">
      <c r="A31" s="31" t="str">
        <f>_xlfn.XLOOKUP(B31,RM!A:A,RM!B:B,2,0)</f>
        <v>Danilo Gomes</v>
      </c>
      <c r="B31" s="13" t="s">
        <v>82</v>
      </c>
      <c r="C31" s="1">
        <f t="shared" si="0"/>
        <v>0.33333333333333331</v>
      </c>
      <c r="D31" s="2">
        <f>_xlfn.XLOOKUP(B31,din!B:B,din!F:F)</f>
        <v>3</v>
      </c>
      <c r="E31" s="2">
        <f>_xlfn.XLOOKUP(B31,din!B:B,din!D:D)</f>
        <v>1</v>
      </c>
      <c r="F31" s="4">
        <f>_xlfn.XLOOKUP(B31,din!B:B,din!C:C)</f>
        <v>2</v>
      </c>
    </row>
    <row r="32" spans="1:6" x14ac:dyDescent="0.25">
      <c r="A32" s="31" t="str">
        <f>_xlfn.XLOOKUP(B32,RM!A:A,RM!B:B,2,0)</f>
        <v>Danilo Gomes</v>
      </c>
      <c r="B32" s="13" t="s">
        <v>36</v>
      </c>
      <c r="C32" s="1">
        <f t="shared" si="0"/>
        <v>0</v>
      </c>
      <c r="D32" s="2">
        <f>_xlfn.XLOOKUP(B32,din!B:B,din!F:F)</f>
        <v>2</v>
      </c>
      <c r="E32" s="2">
        <f>_xlfn.XLOOKUP(B32,din!B:B,din!D:D)</f>
        <v>0</v>
      </c>
      <c r="F32" s="4">
        <f>_xlfn.XLOOKUP(B32,din!B:B,din!C:C)</f>
        <v>2</v>
      </c>
    </row>
    <row r="33" spans="1:6" x14ac:dyDescent="0.25">
      <c r="A33" s="31" t="str">
        <f>_xlfn.XLOOKUP(B33,RM!A:A,RM!B:B,2,0)</f>
        <v>Danilo Gomes</v>
      </c>
      <c r="B33" s="13" t="s">
        <v>109</v>
      </c>
      <c r="C33" s="1">
        <f t="shared" si="0"/>
        <v>0.33333333333333331</v>
      </c>
      <c r="D33" s="2">
        <f>_xlfn.XLOOKUP(B33,din!B:B,din!F:F)</f>
        <v>3</v>
      </c>
      <c r="E33" s="2">
        <f>_xlfn.XLOOKUP(B33,din!B:B,din!D:D)</f>
        <v>1</v>
      </c>
      <c r="F33" s="4">
        <f>_xlfn.XLOOKUP(B33,din!B:B,din!C:C)</f>
        <v>2</v>
      </c>
    </row>
    <row r="34" spans="1:6" x14ac:dyDescent="0.25">
      <c r="A34" s="31" t="str">
        <f>_xlfn.XLOOKUP(B34,RM!A:A,RM!B:B,2,0)</f>
        <v>Danilo Gomes</v>
      </c>
      <c r="B34" s="13" t="s">
        <v>118</v>
      </c>
      <c r="C34" s="1">
        <f t="shared" si="0"/>
        <v>0.33333333333333331</v>
      </c>
      <c r="D34" s="2">
        <f>_xlfn.XLOOKUP(B34,din!B:B,din!F:F)</f>
        <v>3</v>
      </c>
      <c r="E34" s="2">
        <f>_xlfn.XLOOKUP(B34,din!B:B,din!D:D)</f>
        <v>1</v>
      </c>
      <c r="F34" s="4">
        <f>_xlfn.XLOOKUP(B34,din!B:B,din!C:C)</f>
        <v>2</v>
      </c>
    </row>
    <row r="35" spans="1:6" x14ac:dyDescent="0.25">
      <c r="A35" s="31" t="str">
        <f>_xlfn.XLOOKUP(B35,RM!A:A,RM!B:B,2,0)</f>
        <v>Thiago Santos</v>
      </c>
      <c r="B35" s="13" t="s">
        <v>127</v>
      </c>
      <c r="C35" s="1">
        <f t="shared" si="0"/>
        <v>0.66666666666666663</v>
      </c>
      <c r="D35" s="2">
        <f>_xlfn.XLOOKUP(B35,din!B:B,din!F:F)</f>
        <v>3</v>
      </c>
      <c r="E35" s="2">
        <f>_xlfn.XLOOKUP(B35,din!B:B,din!D:D)</f>
        <v>2</v>
      </c>
      <c r="F35" s="4">
        <f>_xlfn.XLOOKUP(B35,din!B:B,din!C:C)</f>
        <v>1</v>
      </c>
    </row>
    <row r="36" spans="1:6" x14ac:dyDescent="0.25">
      <c r="A36" s="31" t="str">
        <f>_xlfn.XLOOKUP(B36,RM!A:A,RM!B:B,2,0)</f>
        <v>Danilo Gomes</v>
      </c>
      <c r="B36" s="13" t="s">
        <v>29</v>
      </c>
      <c r="C36" s="1">
        <f t="shared" ref="C36:C67" si="1">E36/D36</f>
        <v>0.66666666666666663</v>
      </c>
      <c r="D36" s="2">
        <f>_xlfn.XLOOKUP(B36,din!B:B,din!F:F)</f>
        <v>3</v>
      </c>
      <c r="E36" s="2">
        <f>_xlfn.XLOOKUP(B36,din!B:B,din!D:D)</f>
        <v>2</v>
      </c>
      <c r="F36" s="4">
        <f>_xlfn.XLOOKUP(B36,din!B:B,din!C:C)</f>
        <v>1</v>
      </c>
    </row>
    <row r="37" spans="1:6" x14ac:dyDescent="0.25">
      <c r="A37" s="31" t="str">
        <f>_xlfn.XLOOKUP(B37,RM!A:A,RM!B:B,2,0)</f>
        <v>Danilo Gomes</v>
      </c>
      <c r="B37" s="13" t="s">
        <v>48</v>
      </c>
      <c r="C37" s="1">
        <f t="shared" si="1"/>
        <v>0.66666666666666663</v>
      </c>
      <c r="D37" s="2">
        <f>_xlfn.XLOOKUP(B37,din!B:B,din!F:F)</f>
        <v>3</v>
      </c>
      <c r="E37" s="2">
        <f>_xlfn.XLOOKUP(B37,din!B:B,din!D:D)</f>
        <v>2</v>
      </c>
      <c r="F37" s="4">
        <f>_xlfn.XLOOKUP(B37,din!B:B,din!C:C)</f>
        <v>1</v>
      </c>
    </row>
    <row r="38" spans="1:6" x14ac:dyDescent="0.25">
      <c r="A38" s="31" t="str">
        <f>_xlfn.XLOOKUP(B38,RM!A:A,RM!B:B,2,0)</f>
        <v>Danilo Gomes</v>
      </c>
      <c r="B38" s="13" t="s">
        <v>30</v>
      </c>
      <c r="C38" s="1">
        <f t="shared" si="1"/>
        <v>0.9285714285714286</v>
      </c>
      <c r="D38" s="2">
        <f>_xlfn.XLOOKUP(B38,din!B:B,din!F:F)</f>
        <v>14</v>
      </c>
      <c r="E38" s="2">
        <f>_xlfn.XLOOKUP(B38,din!B:B,din!D:D)</f>
        <v>13</v>
      </c>
      <c r="F38" s="4">
        <f>_xlfn.XLOOKUP(B38,din!B:B,din!C:C)</f>
        <v>1</v>
      </c>
    </row>
    <row r="39" spans="1:6" x14ac:dyDescent="0.25">
      <c r="A39" s="31" t="str">
        <f>_xlfn.XLOOKUP(B39,RM!A:A,RM!B:B,2,0)</f>
        <v>Danilo Gomes</v>
      </c>
      <c r="B39" s="13" t="s">
        <v>76</v>
      </c>
      <c r="C39" s="1">
        <f t="shared" si="1"/>
        <v>0.5</v>
      </c>
      <c r="D39" s="2">
        <f>_xlfn.XLOOKUP(B39,din!B:B,din!F:F)</f>
        <v>2</v>
      </c>
      <c r="E39" s="2">
        <f>_xlfn.XLOOKUP(B39,din!B:B,din!D:D)</f>
        <v>1</v>
      </c>
      <c r="F39" s="4">
        <f>_xlfn.XLOOKUP(B39,din!B:B,din!C:C)</f>
        <v>1</v>
      </c>
    </row>
    <row r="40" spans="1:6" x14ac:dyDescent="0.25">
      <c r="A40" s="31" t="str">
        <f>_xlfn.XLOOKUP(B40,RM!A:A,RM!B:B,2,0)</f>
        <v>Danilo Gomes</v>
      </c>
      <c r="B40" s="13" t="s">
        <v>151</v>
      </c>
      <c r="C40" s="1">
        <f t="shared" si="1"/>
        <v>0</v>
      </c>
      <c r="D40" s="2">
        <f>_xlfn.XLOOKUP(B40,din!B:B,din!F:F)</f>
        <v>1</v>
      </c>
      <c r="E40" s="2">
        <f>_xlfn.XLOOKUP(B40,din!B:B,din!D:D)</f>
        <v>0</v>
      </c>
      <c r="F40" s="4">
        <f>_xlfn.XLOOKUP(B40,din!B:B,din!C:C)</f>
        <v>1</v>
      </c>
    </row>
    <row r="41" spans="1:6" x14ac:dyDescent="0.25">
      <c r="A41" s="31" t="str">
        <f>_xlfn.XLOOKUP(B41,RM!A:A,RM!B:B,2,0)</f>
        <v>Danilo Gomes</v>
      </c>
      <c r="B41" s="13" t="s">
        <v>122</v>
      </c>
      <c r="C41" s="1">
        <f t="shared" si="1"/>
        <v>0</v>
      </c>
      <c r="D41" s="2">
        <f>_xlfn.XLOOKUP(B41,din!B:B,din!F:F)</f>
        <v>1</v>
      </c>
      <c r="E41" s="2">
        <f>_xlfn.XLOOKUP(B41,din!B:B,din!D:D)</f>
        <v>0</v>
      </c>
      <c r="F41" s="4">
        <f>_xlfn.XLOOKUP(B41,din!B:B,din!C:C)</f>
        <v>1</v>
      </c>
    </row>
    <row r="42" spans="1:6" x14ac:dyDescent="0.25">
      <c r="A42" s="31" t="str">
        <f>_xlfn.XLOOKUP(B42,RM!A:A,RM!B:B,2,0)</f>
        <v>Thiago Santos</v>
      </c>
      <c r="B42" s="13" t="s">
        <v>125</v>
      </c>
      <c r="C42" s="1">
        <f t="shared" si="1"/>
        <v>0</v>
      </c>
      <c r="D42" s="2">
        <f>_xlfn.XLOOKUP(B42,din!B:B,din!F:F)</f>
        <v>1</v>
      </c>
      <c r="E42" s="2">
        <f>_xlfn.XLOOKUP(B42,din!B:B,din!D:D)</f>
        <v>0</v>
      </c>
      <c r="F42" s="4">
        <f>_xlfn.XLOOKUP(B42,din!B:B,din!C:C)</f>
        <v>1</v>
      </c>
    </row>
    <row r="43" spans="1:6" x14ac:dyDescent="0.25">
      <c r="A43" s="31" t="str">
        <f>_xlfn.XLOOKUP(B43,RM!A:A,RM!B:B,2,0)</f>
        <v>Danilo Gomes</v>
      </c>
      <c r="B43" s="13" t="s">
        <v>37</v>
      </c>
      <c r="C43" s="1">
        <f t="shared" si="1"/>
        <v>0</v>
      </c>
      <c r="D43" s="2">
        <f>_xlfn.XLOOKUP(B43,din!B:B,din!F:F)</f>
        <v>1</v>
      </c>
      <c r="E43" s="2">
        <f>_xlfn.XLOOKUP(B43,din!B:B,din!D:D)</f>
        <v>0</v>
      </c>
      <c r="F43" s="4">
        <f>_xlfn.XLOOKUP(B43,din!B:B,din!C:C)</f>
        <v>1</v>
      </c>
    </row>
    <row r="44" spans="1:6" x14ac:dyDescent="0.25">
      <c r="A44" s="31" t="str">
        <f>_xlfn.XLOOKUP(B44,RM!A:A,RM!B:B,2,0)</f>
        <v>Thiago Santos</v>
      </c>
      <c r="B44" s="13" t="s">
        <v>67</v>
      </c>
      <c r="C44" s="1">
        <f t="shared" si="1"/>
        <v>0.5</v>
      </c>
      <c r="D44" s="2">
        <f>_xlfn.XLOOKUP(B44,din!B:B,din!F:F)</f>
        <v>2</v>
      </c>
      <c r="E44" s="2">
        <f>_xlfn.XLOOKUP(B44,din!B:B,din!D:D)</f>
        <v>1</v>
      </c>
      <c r="F44" s="4">
        <f>_xlfn.XLOOKUP(B44,din!B:B,din!C:C)</f>
        <v>1</v>
      </c>
    </row>
    <row r="45" spans="1:6" x14ac:dyDescent="0.25">
      <c r="A45" s="31" t="str">
        <f>_xlfn.XLOOKUP(B45,RM!A:A,RM!B:B,2,0)</f>
        <v>Thiago Santos</v>
      </c>
      <c r="B45" s="13" t="s">
        <v>61</v>
      </c>
      <c r="C45" s="1">
        <f t="shared" si="1"/>
        <v>0.90909090909090906</v>
      </c>
      <c r="D45" s="2">
        <f>_xlfn.XLOOKUP(B45,din!B:B,din!F:F)</f>
        <v>11</v>
      </c>
      <c r="E45" s="2">
        <f>_xlfn.XLOOKUP(B45,din!B:B,din!D:D)</f>
        <v>10</v>
      </c>
      <c r="F45" s="4">
        <f>_xlfn.XLOOKUP(B45,din!B:B,din!C:C)</f>
        <v>1</v>
      </c>
    </row>
    <row r="46" spans="1:6" x14ac:dyDescent="0.25">
      <c r="A46" s="31" t="str">
        <f>_xlfn.XLOOKUP(B46,RM!A:A,RM!B:B,2,0)</f>
        <v>Danilo Gomes</v>
      </c>
      <c r="B46" s="13" t="s">
        <v>99</v>
      </c>
      <c r="C46" s="1">
        <f t="shared" si="1"/>
        <v>0.5</v>
      </c>
      <c r="D46" s="2">
        <f>_xlfn.XLOOKUP(B46,din!B:B,din!F:F)</f>
        <v>2</v>
      </c>
      <c r="E46" s="2">
        <f>_xlfn.XLOOKUP(B46,din!B:B,din!D:D)</f>
        <v>1</v>
      </c>
      <c r="F46" s="4">
        <f>_xlfn.XLOOKUP(B46,din!B:B,din!C:C)</f>
        <v>1</v>
      </c>
    </row>
    <row r="47" spans="1:6" x14ac:dyDescent="0.25">
      <c r="A47" s="31" t="str">
        <f>_xlfn.XLOOKUP(B47,RM!A:A,RM!B:B,2,0)</f>
        <v>Danilo Gomes</v>
      </c>
      <c r="B47" s="13" t="s">
        <v>35</v>
      </c>
      <c r="C47" s="1">
        <f t="shared" si="1"/>
        <v>0.75</v>
      </c>
      <c r="D47" s="2">
        <f>_xlfn.XLOOKUP(B47,din!B:B,din!F:F)</f>
        <v>4</v>
      </c>
      <c r="E47" s="2">
        <f>_xlfn.XLOOKUP(B47,din!B:B,din!D:D)</f>
        <v>3</v>
      </c>
      <c r="F47" s="4">
        <f>_xlfn.XLOOKUP(B47,din!B:B,din!C:C)</f>
        <v>1</v>
      </c>
    </row>
    <row r="48" spans="1:6" x14ac:dyDescent="0.25">
      <c r="A48" s="31" t="str">
        <f>_xlfn.XLOOKUP(B48,RM!A:A,RM!B:B,2,0)</f>
        <v>Danilo Gomes</v>
      </c>
      <c r="B48" s="13" t="s">
        <v>112</v>
      </c>
      <c r="C48" s="1">
        <f t="shared" si="1"/>
        <v>0.75</v>
      </c>
      <c r="D48" s="2">
        <f>_xlfn.XLOOKUP(B48,din!B:B,din!F:F)</f>
        <v>4</v>
      </c>
      <c r="E48" s="2">
        <f>_xlfn.XLOOKUP(B48,din!B:B,din!D:D)</f>
        <v>3</v>
      </c>
      <c r="F48" s="4">
        <f>_xlfn.XLOOKUP(B48,din!B:B,din!C:C)</f>
        <v>1</v>
      </c>
    </row>
    <row r="49" spans="1:6" x14ac:dyDescent="0.25">
      <c r="A49" s="31" t="str">
        <f>_xlfn.XLOOKUP(B49,RM!A:A,RM!B:B,2,0)</f>
        <v>Thiago Santos</v>
      </c>
      <c r="B49" s="13" t="s">
        <v>71</v>
      </c>
      <c r="C49" s="1">
        <f t="shared" si="1"/>
        <v>0.66666666666666663</v>
      </c>
      <c r="D49" s="2">
        <f>_xlfn.XLOOKUP(B49,din!B:B,din!F:F)</f>
        <v>3</v>
      </c>
      <c r="E49" s="2">
        <f>_xlfn.XLOOKUP(B49,din!B:B,din!D:D)</f>
        <v>2</v>
      </c>
      <c r="F49" s="4">
        <f>_xlfn.XLOOKUP(B49,din!B:B,din!C:C)</f>
        <v>1</v>
      </c>
    </row>
    <row r="50" spans="1:6" x14ac:dyDescent="0.25">
      <c r="A50" s="31" t="str">
        <f>_xlfn.XLOOKUP(B50,RM!A:A,RM!B:B,2,0)</f>
        <v>Thiago Santos</v>
      </c>
      <c r="B50" s="13" t="s">
        <v>90</v>
      </c>
      <c r="C50" s="1">
        <f t="shared" si="1"/>
        <v>0.75</v>
      </c>
      <c r="D50" s="2">
        <f>_xlfn.XLOOKUP(B50,din!B:B,din!F:F)</f>
        <v>4</v>
      </c>
      <c r="E50" s="2">
        <f>_xlfn.XLOOKUP(B50,din!B:B,din!D:D)</f>
        <v>3</v>
      </c>
      <c r="F50" s="4">
        <f>_xlfn.XLOOKUP(B50,din!B:B,din!C:C)</f>
        <v>1</v>
      </c>
    </row>
    <row r="51" spans="1:6" x14ac:dyDescent="0.25">
      <c r="A51" s="31" t="str">
        <f>_xlfn.XLOOKUP(B51,RM!A:A,RM!B:B,2,0)</f>
        <v>Danilo Gomes</v>
      </c>
      <c r="B51" s="13" t="s">
        <v>114</v>
      </c>
      <c r="C51" s="1">
        <f t="shared" si="1"/>
        <v>0</v>
      </c>
      <c r="D51" s="2">
        <f>_xlfn.XLOOKUP(B51,din!B:B,din!F:F)</f>
        <v>1</v>
      </c>
      <c r="E51" s="2">
        <f>_xlfn.XLOOKUP(B51,din!B:B,din!D:D)</f>
        <v>0</v>
      </c>
      <c r="F51" s="4">
        <f>_xlfn.XLOOKUP(B51,din!B:B,din!C:C)</f>
        <v>1</v>
      </c>
    </row>
    <row r="52" spans="1:6" x14ac:dyDescent="0.25">
      <c r="A52" s="31" t="str">
        <f>_xlfn.XLOOKUP(B52,RM!A:A,RM!B:B,2,0)</f>
        <v>Danilo Gomes</v>
      </c>
      <c r="B52" s="13" t="s">
        <v>28</v>
      </c>
      <c r="C52" s="1">
        <f t="shared" si="1"/>
        <v>0.66666666666666663</v>
      </c>
      <c r="D52" s="2">
        <f>_xlfn.XLOOKUP(B52,din!B:B,din!F:F)</f>
        <v>3</v>
      </c>
      <c r="E52" s="2">
        <f>_xlfn.XLOOKUP(B52,din!B:B,din!D:D)</f>
        <v>2</v>
      </c>
      <c r="F52" s="4">
        <f>_xlfn.XLOOKUP(B52,din!B:B,din!C:C)</f>
        <v>1</v>
      </c>
    </row>
    <row r="53" spans="1:6" x14ac:dyDescent="0.25">
      <c r="A53" s="31" t="str">
        <f>_xlfn.XLOOKUP(B53,RM!A:A,RM!B:B,2,0)</f>
        <v>Danilo Gomes</v>
      </c>
      <c r="B53" s="13" t="s">
        <v>65</v>
      </c>
      <c r="C53" s="1">
        <f t="shared" si="1"/>
        <v>0</v>
      </c>
      <c r="D53" s="2">
        <f>_xlfn.XLOOKUP(B53,din!B:B,din!F:F)</f>
        <v>1</v>
      </c>
      <c r="E53" s="2">
        <f>_xlfn.XLOOKUP(B53,din!B:B,din!D:D)</f>
        <v>0</v>
      </c>
      <c r="F53" s="4">
        <f>_xlfn.XLOOKUP(B53,din!B:B,din!C:C)</f>
        <v>1</v>
      </c>
    </row>
    <row r="54" spans="1:6" x14ac:dyDescent="0.25">
      <c r="A54" s="31" t="str">
        <f>_xlfn.XLOOKUP(B54,RM!A:A,RM!B:B,2,0)</f>
        <v>Thiago Santos</v>
      </c>
      <c r="B54" s="13" t="s">
        <v>145</v>
      </c>
      <c r="C54" s="1">
        <f t="shared" si="1"/>
        <v>0</v>
      </c>
      <c r="D54" s="2">
        <f>_xlfn.XLOOKUP(B54,din!B:B,din!F:F)</f>
        <v>1</v>
      </c>
      <c r="E54" s="2">
        <f>_xlfn.XLOOKUP(B54,din!B:B,din!D:D)</f>
        <v>0</v>
      </c>
      <c r="F54" s="4">
        <f>_xlfn.XLOOKUP(B54,din!B:B,din!C:C)</f>
        <v>1</v>
      </c>
    </row>
    <row r="55" spans="1:6" x14ac:dyDescent="0.25">
      <c r="A55" s="31" t="str">
        <f>_xlfn.XLOOKUP(B55,RM!A:A,RM!B:B,2,0)</f>
        <v>Danilo Gomes</v>
      </c>
      <c r="B55" s="13" t="s">
        <v>111</v>
      </c>
      <c r="C55" s="1">
        <f t="shared" si="1"/>
        <v>0</v>
      </c>
      <c r="D55" s="2">
        <f>_xlfn.XLOOKUP(B55,din!B:B,din!F:F)</f>
        <v>1</v>
      </c>
      <c r="E55" s="2">
        <f>_xlfn.XLOOKUP(B55,din!B:B,din!D:D)</f>
        <v>0</v>
      </c>
      <c r="F55" s="4">
        <f>_xlfn.XLOOKUP(B55,din!B:B,din!C:C)</f>
        <v>1</v>
      </c>
    </row>
    <row r="56" spans="1:6" x14ac:dyDescent="0.25">
      <c r="A56" s="31" t="str">
        <f>_xlfn.XLOOKUP(B56,RM!A:A,RM!B:B,2,0)</f>
        <v>Danilo Gomes</v>
      </c>
      <c r="B56" s="13" t="s">
        <v>97</v>
      </c>
      <c r="C56" s="1">
        <f t="shared" si="1"/>
        <v>0.5</v>
      </c>
      <c r="D56" s="2">
        <f>_xlfn.XLOOKUP(B56,din!B:B,din!F:F)</f>
        <v>2</v>
      </c>
      <c r="E56" s="2">
        <f>_xlfn.XLOOKUP(B56,din!B:B,din!D:D)</f>
        <v>1</v>
      </c>
      <c r="F56" s="4">
        <f>_xlfn.XLOOKUP(B56,din!B:B,din!C:C)</f>
        <v>1</v>
      </c>
    </row>
    <row r="57" spans="1:6" x14ac:dyDescent="0.25">
      <c r="A57" s="31" t="str">
        <f>_xlfn.XLOOKUP(B57,RM!A:A,RM!B:B,2,0)</f>
        <v>Thiago Santos</v>
      </c>
      <c r="B57" s="13" t="s">
        <v>135</v>
      </c>
      <c r="C57" s="1">
        <f t="shared" si="1"/>
        <v>0</v>
      </c>
      <c r="D57" s="2">
        <f>_xlfn.XLOOKUP(B57,din!B:B,din!F:F)</f>
        <v>1</v>
      </c>
      <c r="E57" s="2">
        <f>_xlfn.XLOOKUP(B57,din!B:B,din!D:D)</f>
        <v>0</v>
      </c>
      <c r="F57" s="4">
        <f>_xlfn.XLOOKUP(B57,din!B:B,din!C:C)</f>
        <v>1</v>
      </c>
    </row>
    <row r="58" spans="1:6" x14ac:dyDescent="0.25">
      <c r="A58" s="31" t="str">
        <f>_xlfn.XLOOKUP(B58,RM!A:A,RM!B:B,2,0)</f>
        <v>Danilo Gomes</v>
      </c>
      <c r="B58" s="13" t="s">
        <v>83</v>
      </c>
      <c r="C58" s="1">
        <f t="shared" si="1"/>
        <v>0.5</v>
      </c>
      <c r="D58" s="2">
        <f>_xlfn.XLOOKUP(B58,din!B:B,din!F:F)</f>
        <v>2</v>
      </c>
      <c r="E58" s="2">
        <f>_xlfn.XLOOKUP(B58,din!B:B,din!D:D)</f>
        <v>1</v>
      </c>
      <c r="F58" s="4">
        <f>_xlfn.XLOOKUP(B58,din!B:B,din!C:C)</f>
        <v>1</v>
      </c>
    </row>
    <row r="59" spans="1:6" x14ac:dyDescent="0.25">
      <c r="A59" s="31" t="str">
        <f>_xlfn.XLOOKUP(B59,RM!A:A,RM!B:B,2,0)</f>
        <v>Danilo Gomes</v>
      </c>
      <c r="B59" s="13" t="s">
        <v>93</v>
      </c>
      <c r="C59" s="1">
        <f t="shared" si="1"/>
        <v>0</v>
      </c>
      <c r="D59" s="2">
        <f>_xlfn.XLOOKUP(B59,din!B:B,din!F:F)</f>
        <v>1</v>
      </c>
      <c r="E59" s="2">
        <f>_xlfn.XLOOKUP(B59,din!B:B,din!D:D)</f>
        <v>0</v>
      </c>
      <c r="F59" s="42">
        <f>_xlfn.XLOOKUP(B59,din!B:B,din!C:C)</f>
        <v>1</v>
      </c>
    </row>
    <row r="60" spans="1:6" x14ac:dyDescent="0.25">
      <c r="A60" s="31" t="str">
        <f>_xlfn.XLOOKUP(B60,RM!A:A,RM!B:B,2,0)</f>
        <v>Thiago Santos</v>
      </c>
      <c r="B60" s="13" t="s">
        <v>81</v>
      </c>
      <c r="C60" s="1">
        <f t="shared" si="1"/>
        <v>0</v>
      </c>
      <c r="D60" s="2">
        <f>_xlfn.XLOOKUP(B60,din!B:B,din!F:F)</f>
        <v>1</v>
      </c>
      <c r="E60" s="2">
        <f>_xlfn.XLOOKUP(B60,din!B:B,din!D:D)</f>
        <v>0</v>
      </c>
      <c r="F60" s="4">
        <f>_xlfn.XLOOKUP(B60,din!B:B,din!C:C)</f>
        <v>1</v>
      </c>
    </row>
    <row r="61" spans="1:6" x14ac:dyDescent="0.25">
      <c r="A61" s="31" t="str">
        <f>_xlfn.XLOOKUP(B61,RM!A:A,RM!B:B,2,0)</f>
        <v>Thiago Santos</v>
      </c>
      <c r="B61" s="13" t="s">
        <v>70</v>
      </c>
      <c r="C61" s="1">
        <f t="shared" si="1"/>
        <v>0.5</v>
      </c>
      <c r="D61" s="2">
        <f>_xlfn.XLOOKUP(B61,din!B:B,din!F:F)</f>
        <v>2</v>
      </c>
      <c r="E61" s="2">
        <f>_xlfn.XLOOKUP(B61,din!B:B,din!D:D)</f>
        <v>1</v>
      </c>
      <c r="F61" s="4">
        <f>_xlfn.XLOOKUP(B61,din!B:B,din!C:C)</f>
        <v>1</v>
      </c>
    </row>
    <row r="62" spans="1:6" x14ac:dyDescent="0.25">
      <c r="A62" s="31" t="str">
        <f>_xlfn.XLOOKUP(B62,RM!A:A,RM!B:B,2,0)</f>
        <v>Danilo Gomes</v>
      </c>
      <c r="B62" s="13" t="s">
        <v>103</v>
      </c>
      <c r="C62" s="1">
        <f t="shared" si="1"/>
        <v>0.875</v>
      </c>
      <c r="D62" s="2">
        <f>_xlfn.XLOOKUP(B62,din!B:B,din!F:F)</f>
        <v>8</v>
      </c>
      <c r="E62" s="2">
        <f>_xlfn.XLOOKUP(B62,din!B:B,din!D:D)</f>
        <v>7</v>
      </c>
      <c r="F62" s="4">
        <f>_xlfn.XLOOKUP(B62,din!B:B,din!C:C)</f>
        <v>1</v>
      </c>
    </row>
    <row r="63" spans="1:6" x14ac:dyDescent="0.25">
      <c r="A63" s="31" t="str">
        <f>_xlfn.XLOOKUP(B63,RM!A:A,RM!B:B,2,0)</f>
        <v>Danilo Gomes</v>
      </c>
      <c r="B63" s="13" t="s">
        <v>19</v>
      </c>
      <c r="C63" s="1">
        <f t="shared" si="1"/>
        <v>0.83333333333333337</v>
      </c>
      <c r="D63" s="2">
        <f>_xlfn.XLOOKUP(B63,din!B:B,din!F:F)</f>
        <v>6</v>
      </c>
      <c r="E63" s="2">
        <f>_xlfn.XLOOKUP(B63,din!B:B,din!D:D)</f>
        <v>5</v>
      </c>
      <c r="F63" s="4">
        <f>_xlfn.XLOOKUP(B63,din!B:B,din!C:C)</f>
        <v>1</v>
      </c>
    </row>
    <row r="64" spans="1:6" x14ac:dyDescent="0.25">
      <c r="A64" s="31" t="str">
        <f>_xlfn.XLOOKUP(B64,RM!A:A,RM!B:B,2,0)</f>
        <v>Thiago Santos</v>
      </c>
      <c r="B64" s="13" t="s">
        <v>69</v>
      </c>
      <c r="C64" s="1">
        <f t="shared" si="1"/>
        <v>0.5</v>
      </c>
      <c r="D64" s="2">
        <f>_xlfn.XLOOKUP(B64,din!B:B,din!F:F)</f>
        <v>2</v>
      </c>
      <c r="E64" s="2">
        <f>_xlfn.XLOOKUP(B64,din!B:B,din!D:D)</f>
        <v>1</v>
      </c>
      <c r="F64" s="4">
        <f>_xlfn.XLOOKUP(B64,din!B:B,din!C:C)</f>
        <v>1</v>
      </c>
    </row>
    <row r="65" spans="1:6" x14ac:dyDescent="0.25">
      <c r="A65" s="31" t="str">
        <f>_xlfn.XLOOKUP(B65,RM!A:A,RM!B:B,2,0)</f>
        <v>Danilo Gomes</v>
      </c>
      <c r="B65" s="13" t="s">
        <v>47</v>
      </c>
      <c r="C65" s="1">
        <f t="shared" si="1"/>
        <v>0.5</v>
      </c>
      <c r="D65" s="2">
        <f>_xlfn.XLOOKUP(B65,din!B:B,din!F:F)</f>
        <v>2</v>
      </c>
      <c r="E65" s="2">
        <f>_xlfn.XLOOKUP(B65,din!B:B,din!D:D)</f>
        <v>1</v>
      </c>
      <c r="F65" s="4">
        <f>_xlfn.XLOOKUP(B65,din!B:B,din!C:C)</f>
        <v>1</v>
      </c>
    </row>
    <row r="66" spans="1:6" x14ac:dyDescent="0.25">
      <c r="A66" s="31" t="str">
        <f>_xlfn.XLOOKUP(B66,RM!A:A,RM!B:B,2,0)</f>
        <v>Danilo Gomes</v>
      </c>
      <c r="B66" s="13" t="s">
        <v>62</v>
      </c>
      <c r="C66" s="1">
        <f t="shared" si="1"/>
        <v>0</v>
      </c>
      <c r="D66" s="2">
        <f>_xlfn.XLOOKUP(B66,din!B:B,din!F:F)</f>
        <v>1</v>
      </c>
      <c r="E66" s="2">
        <f>_xlfn.XLOOKUP(B66,din!B:B,din!D:D)</f>
        <v>0</v>
      </c>
      <c r="F66" s="4">
        <f>_xlfn.XLOOKUP(B66,din!B:B,din!C:C)</f>
        <v>1</v>
      </c>
    </row>
    <row r="67" spans="1:6" x14ac:dyDescent="0.25">
      <c r="A67" s="31" t="str">
        <f>_xlfn.XLOOKUP(B67,RM!A:A,RM!B:B,2,0)</f>
        <v>Thiago Santos</v>
      </c>
      <c r="B67" s="13" t="s">
        <v>79</v>
      </c>
      <c r="C67" s="1">
        <f t="shared" si="1"/>
        <v>0</v>
      </c>
      <c r="D67" s="2">
        <f>_xlfn.XLOOKUP(B67,din!B:B,din!F:F)</f>
        <v>1</v>
      </c>
      <c r="E67" s="2">
        <f>_xlfn.XLOOKUP(B67,din!B:B,din!D:D)</f>
        <v>0</v>
      </c>
      <c r="F67" s="4">
        <f>_xlfn.XLOOKUP(B67,din!B:B,din!C:C)</f>
        <v>1</v>
      </c>
    </row>
    <row r="68" spans="1:6" x14ac:dyDescent="0.25">
      <c r="A68" s="31" t="str">
        <f>_xlfn.XLOOKUP(B68,RM!A:A,RM!B:B,2,0)</f>
        <v>Thiago Santos</v>
      </c>
      <c r="B68" s="13" t="s">
        <v>77</v>
      </c>
      <c r="C68" s="1">
        <f t="shared" ref="C68:C99" si="2">E68/D68</f>
        <v>0</v>
      </c>
      <c r="D68" s="2">
        <f>_xlfn.XLOOKUP(B68,din!B:B,din!F:F)</f>
        <v>1</v>
      </c>
      <c r="E68" s="2">
        <f>_xlfn.XLOOKUP(B68,din!B:B,din!D:D)</f>
        <v>0</v>
      </c>
      <c r="F68" s="4">
        <f>_xlfn.XLOOKUP(B68,din!B:B,din!C:C)</f>
        <v>1</v>
      </c>
    </row>
    <row r="69" spans="1:6" x14ac:dyDescent="0.25">
      <c r="A69" s="31" t="str">
        <f>_xlfn.XLOOKUP(B69,RM!A:A,RM!B:B,2,0)</f>
        <v>Thiago Santos</v>
      </c>
      <c r="B69" s="13" t="s">
        <v>1095</v>
      </c>
      <c r="C69" s="1">
        <f t="shared" si="2"/>
        <v>0</v>
      </c>
      <c r="D69" s="2">
        <f>_xlfn.XLOOKUP(B69,din!B:B,din!F:F)</f>
        <v>1</v>
      </c>
      <c r="E69" s="2">
        <f>_xlfn.XLOOKUP(B69,din!B:B,din!D:D)</f>
        <v>0</v>
      </c>
      <c r="F69" s="4">
        <f>_xlfn.XLOOKUP(B69,din!B:B,din!C:C)</f>
        <v>1</v>
      </c>
    </row>
    <row r="70" spans="1:6" x14ac:dyDescent="0.25">
      <c r="A70" s="31" t="str">
        <f>_xlfn.XLOOKUP(B70,RM!A:A,RM!B:B,2,0)</f>
        <v>Thiago Santos</v>
      </c>
      <c r="B70" s="13" t="s">
        <v>140</v>
      </c>
      <c r="C70" s="1">
        <f t="shared" si="2"/>
        <v>0.5</v>
      </c>
      <c r="D70" s="2">
        <f>_xlfn.XLOOKUP(B70,din!B:B,din!F:F)</f>
        <v>2</v>
      </c>
      <c r="E70" s="2">
        <f>_xlfn.XLOOKUP(B70,din!B:B,din!D:D)</f>
        <v>1</v>
      </c>
      <c r="F70" s="4">
        <f>_xlfn.XLOOKUP(B70,din!B:B,din!C:C)</f>
        <v>1</v>
      </c>
    </row>
    <row r="71" spans="1:6" x14ac:dyDescent="0.25">
      <c r="A71" s="31" t="str">
        <f>_xlfn.XLOOKUP(B71,RM!A:A,RM!B:B,2,0)</f>
        <v>Thiago Santos</v>
      </c>
      <c r="B71" s="13" t="s">
        <v>124</v>
      </c>
      <c r="C71" s="1">
        <f t="shared" si="2"/>
        <v>1</v>
      </c>
      <c r="D71" s="2">
        <f>_xlfn.XLOOKUP(B71,din!B:B,din!F:F)</f>
        <v>2</v>
      </c>
      <c r="E71" s="2">
        <f>_xlfn.XLOOKUP(B71,din!B:B,din!D:D)</f>
        <v>2</v>
      </c>
      <c r="F71" s="12">
        <f>_xlfn.XLOOKUP(B71,din!B:B,din!C:C)</f>
        <v>0</v>
      </c>
    </row>
    <row r="72" spans="1:6" x14ac:dyDescent="0.25">
      <c r="A72" s="31" t="str">
        <f>_xlfn.XLOOKUP(B72,RM!A:A,RM!B:B,2,0)</f>
        <v>Thiago Santos</v>
      </c>
      <c r="B72" s="13" t="s">
        <v>94</v>
      </c>
      <c r="C72" s="1">
        <f t="shared" si="2"/>
        <v>1</v>
      </c>
      <c r="D72" s="2">
        <f>_xlfn.XLOOKUP(B72,din!B:B,din!F:F)</f>
        <v>1</v>
      </c>
      <c r="E72" s="2">
        <f>_xlfn.XLOOKUP(B72,din!B:B,din!D:D)</f>
        <v>1</v>
      </c>
      <c r="F72" s="12">
        <f>_xlfn.XLOOKUP(B72,din!B:B,din!C:C)</f>
        <v>0</v>
      </c>
    </row>
    <row r="73" spans="1:6" x14ac:dyDescent="0.25">
      <c r="A73" s="31" t="str">
        <f>_xlfn.XLOOKUP(B73,RM!A:A,RM!B:B,2,0)</f>
        <v>Danilo Gomes</v>
      </c>
      <c r="B73" s="13" t="s">
        <v>21</v>
      </c>
      <c r="C73" s="1">
        <f t="shared" si="2"/>
        <v>1</v>
      </c>
      <c r="D73" s="2">
        <f>_xlfn.XLOOKUP(B73,din!B:B,din!F:F)</f>
        <v>3</v>
      </c>
      <c r="E73" s="2">
        <f>_xlfn.XLOOKUP(B73,din!B:B,din!D:D)</f>
        <v>3</v>
      </c>
      <c r="F73" s="12">
        <f>_xlfn.XLOOKUP(B73,din!B:B,din!C:C)</f>
        <v>0</v>
      </c>
    </row>
    <row r="74" spans="1:6" x14ac:dyDescent="0.25">
      <c r="A74" s="31" t="str">
        <f>_xlfn.XLOOKUP(B74,RM!A:A,RM!B:B,2,0)</f>
        <v>Thiago Santos</v>
      </c>
      <c r="B74" s="13" t="s">
        <v>84</v>
      </c>
      <c r="C74" s="1">
        <f t="shared" si="2"/>
        <v>1</v>
      </c>
      <c r="D74" s="2">
        <f>_xlfn.XLOOKUP(B74,din!B:B,din!F:F)</f>
        <v>2</v>
      </c>
      <c r="E74" s="2">
        <f>_xlfn.XLOOKUP(B74,din!B:B,din!D:D)</f>
        <v>2</v>
      </c>
      <c r="F74" s="12">
        <f>_xlfn.XLOOKUP(B74,din!B:B,din!C:C)</f>
        <v>0</v>
      </c>
    </row>
    <row r="75" spans="1:6" x14ac:dyDescent="0.25">
      <c r="A75" s="31" t="str">
        <f>_xlfn.XLOOKUP(B75,RM!A:A,RM!B:B,2,0)</f>
        <v>Thiago Santos</v>
      </c>
      <c r="B75" s="13" t="s">
        <v>131</v>
      </c>
      <c r="C75" s="1">
        <f t="shared" si="2"/>
        <v>1</v>
      </c>
      <c r="D75" s="2">
        <f>_xlfn.XLOOKUP(B75,din!B:B,din!F:F)</f>
        <v>1</v>
      </c>
      <c r="E75" s="2">
        <f>_xlfn.XLOOKUP(B75,din!B:B,din!D:D)</f>
        <v>1</v>
      </c>
      <c r="F75" s="12">
        <f>_xlfn.XLOOKUP(B75,din!B:B,din!C:C)</f>
        <v>0</v>
      </c>
    </row>
    <row r="76" spans="1:6" x14ac:dyDescent="0.25">
      <c r="A76" s="31" t="str">
        <f>_xlfn.XLOOKUP(B76,RM!A:A,RM!B:B,2,0)</f>
        <v>Thiago Santos</v>
      </c>
      <c r="B76" s="13" t="s">
        <v>80</v>
      </c>
      <c r="C76" s="1">
        <f t="shared" si="2"/>
        <v>1</v>
      </c>
      <c r="D76" s="2">
        <f>_xlfn.XLOOKUP(B76,din!B:B,din!F:F)</f>
        <v>1</v>
      </c>
      <c r="E76" s="2">
        <f>_xlfn.XLOOKUP(B76,din!B:B,din!D:D)</f>
        <v>1</v>
      </c>
      <c r="F76" s="12">
        <f>_xlfn.XLOOKUP(B76,din!B:B,din!C:C)</f>
        <v>0</v>
      </c>
    </row>
    <row r="77" spans="1:6" x14ac:dyDescent="0.25">
      <c r="A77" s="31" t="str">
        <f>_xlfn.XLOOKUP(B77,RM!A:A,RM!B:B,2,0)</f>
        <v>Thiago Santos</v>
      </c>
      <c r="B77" s="13" t="s">
        <v>68</v>
      </c>
      <c r="C77" s="1">
        <f t="shared" si="2"/>
        <v>1</v>
      </c>
      <c r="D77" s="2">
        <f>_xlfn.XLOOKUP(B77,din!B:B,din!F:F)</f>
        <v>1</v>
      </c>
      <c r="E77" s="2">
        <f>_xlfn.XLOOKUP(B77,din!B:B,din!D:D)</f>
        <v>1</v>
      </c>
      <c r="F77" s="12">
        <f>_xlfn.XLOOKUP(B77,din!B:B,din!C:C)</f>
        <v>0</v>
      </c>
    </row>
    <row r="78" spans="1:6" x14ac:dyDescent="0.25">
      <c r="A78" s="31" t="str">
        <f>_xlfn.XLOOKUP(B78,RM!A:A,RM!B:B,2,0)</f>
        <v>Thiago Santos</v>
      </c>
      <c r="B78" s="13" t="s">
        <v>86</v>
      </c>
      <c r="C78" s="1">
        <f t="shared" si="2"/>
        <v>1</v>
      </c>
      <c r="D78" s="2">
        <f>_xlfn.XLOOKUP(B78,din!B:B,din!F:F)</f>
        <v>3</v>
      </c>
      <c r="E78" s="2">
        <f>_xlfn.XLOOKUP(B78,din!B:B,din!D:D)</f>
        <v>3</v>
      </c>
      <c r="F78" s="12">
        <f>_xlfn.XLOOKUP(B78,din!B:B,din!C:C)</f>
        <v>0</v>
      </c>
    </row>
    <row r="79" spans="1:6" x14ac:dyDescent="0.25">
      <c r="A79" s="31" t="str">
        <f>_xlfn.XLOOKUP(B79,RM!A:A,RM!B:B,2,0)</f>
        <v>Danilo Gomes</v>
      </c>
      <c r="B79" s="13" t="s">
        <v>101</v>
      </c>
      <c r="C79" s="1">
        <f t="shared" si="2"/>
        <v>1</v>
      </c>
      <c r="D79" s="2">
        <f>_xlfn.XLOOKUP(B79,din!B:B,din!F:F)</f>
        <v>1</v>
      </c>
      <c r="E79" s="2">
        <f>_xlfn.XLOOKUP(B79,din!B:B,din!D:D)</f>
        <v>1</v>
      </c>
      <c r="F79" s="12">
        <f>_xlfn.XLOOKUP(B79,din!B:B,din!C:C)</f>
        <v>0</v>
      </c>
    </row>
    <row r="80" spans="1:6" x14ac:dyDescent="0.25">
      <c r="A80" s="31" t="str">
        <f>_xlfn.XLOOKUP(B80,RM!A:A,RM!B:B,2,0)</f>
        <v>Thiago Santos</v>
      </c>
      <c r="B80" s="13" t="s">
        <v>102</v>
      </c>
      <c r="C80" s="1">
        <f t="shared" si="2"/>
        <v>1</v>
      </c>
      <c r="D80" s="2">
        <f>_xlfn.XLOOKUP(B80,din!B:B,din!F:F)</f>
        <v>1</v>
      </c>
      <c r="E80" s="2">
        <f>_xlfn.XLOOKUP(B80,din!B:B,din!D:D)</f>
        <v>1</v>
      </c>
      <c r="F80" s="12">
        <f>_xlfn.XLOOKUP(B80,din!B:B,din!C:C)</f>
        <v>0</v>
      </c>
    </row>
    <row r="81" spans="1:8" x14ac:dyDescent="0.25">
      <c r="A81" s="31" t="str">
        <f>_xlfn.XLOOKUP(B81,RM!A:A,RM!B:B,2,0)</f>
        <v>Danilo Gomes</v>
      </c>
      <c r="B81" s="13" t="s">
        <v>46</v>
      </c>
      <c r="C81" s="1">
        <f t="shared" si="2"/>
        <v>1</v>
      </c>
      <c r="D81" s="2">
        <f>_xlfn.XLOOKUP(B81,din!B:B,din!F:F)</f>
        <v>3</v>
      </c>
      <c r="E81" s="2">
        <f>_xlfn.XLOOKUP(B81,din!B:B,din!D:D)</f>
        <v>3</v>
      </c>
      <c r="F81" s="12">
        <f>_xlfn.XLOOKUP(B81,din!B:B,din!C:C)</f>
        <v>0</v>
      </c>
      <c r="H81" t="s">
        <v>1137</v>
      </c>
    </row>
    <row r="82" spans="1:8" x14ac:dyDescent="0.25">
      <c r="A82" s="31" t="str">
        <f>_xlfn.XLOOKUP(B82,RM!A:A,RM!B:B,2,0)</f>
        <v>Thiago Santos</v>
      </c>
      <c r="B82" s="13" t="s">
        <v>146</v>
      </c>
      <c r="C82" s="1">
        <f t="shared" si="2"/>
        <v>1</v>
      </c>
      <c r="D82" s="2">
        <f>_xlfn.XLOOKUP(B82,din!B:B,din!F:F)</f>
        <v>2</v>
      </c>
      <c r="E82" s="2">
        <f>_xlfn.XLOOKUP(B82,din!B:B,din!D:D)</f>
        <v>2</v>
      </c>
      <c r="F82" s="12">
        <f>_xlfn.XLOOKUP(B82,din!B:B,din!C:C)</f>
        <v>0</v>
      </c>
    </row>
    <row r="83" spans="1:8" x14ac:dyDescent="0.25">
      <c r="A83" s="31" t="str">
        <f>_xlfn.XLOOKUP(B83,RM!A:A,RM!B:B,2,0)</f>
        <v>Danilo Gomes</v>
      </c>
      <c r="B83" s="13" t="s">
        <v>78</v>
      </c>
      <c r="C83" s="1">
        <f t="shared" si="2"/>
        <v>1</v>
      </c>
      <c r="D83" s="2">
        <f>_xlfn.XLOOKUP(B83,din!B:B,din!F:F)</f>
        <v>1</v>
      </c>
      <c r="E83" s="2">
        <f>_xlfn.XLOOKUP(B83,din!B:B,din!D:D)</f>
        <v>1</v>
      </c>
      <c r="F83" s="12">
        <f>_xlfn.XLOOKUP(B83,din!B:B,din!C:C)</f>
        <v>0</v>
      </c>
    </row>
    <row r="84" spans="1:8" x14ac:dyDescent="0.25">
      <c r="A84" s="31" t="str">
        <f>_xlfn.XLOOKUP(B84,RM!A:A,RM!B:B,2,0)</f>
        <v>Thiago Santos</v>
      </c>
      <c r="B84" s="13" t="s">
        <v>106</v>
      </c>
      <c r="C84" s="1">
        <f t="shared" si="2"/>
        <v>1</v>
      </c>
      <c r="D84" s="2">
        <f>_xlfn.XLOOKUP(B84,din!B:B,din!F:F)</f>
        <v>1</v>
      </c>
      <c r="E84" s="2">
        <f>_xlfn.XLOOKUP(B84,din!B:B,din!D:D)</f>
        <v>1</v>
      </c>
      <c r="F84" s="12">
        <f>_xlfn.XLOOKUP(B84,din!B:B,din!C:C)</f>
        <v>0</v>
      </c>
    </row>
    <row r="85" spans="1:8" x14ac:dyDescent="0.25">
      <c r="A85" s="31" t="str">
        <f>_xlfn.XLOOKUP(B85,RM!A:A,RM!B:B,2,0)</f>
        <v>Thiago Santos</v>
      </c>
      <c r="B85" s="13" t="s">
        <v>137</v>
      </c>
      <c r="C85" s="1">
        <f t="shared" si="2"/>
        <v>1</v>
      </c>
      <c r="D85" s="2">
        <f>_xlfn.XLOOKUP(B85,din!B:B,din!F:F)</f>
        <v>1</v>
      </c>
      <c r="E85" s="2">
        <f>_xlfn.XLOOKUP(B85,din!B:B,din!D:D)</f>
        <v>1</v>
      </c>
      <c r="F85" s="12">
        <f>_xlfn.XLOOKUP(B85,din!B:B,din!C:C)</f>
        <v>0</v>
      </c>
    </row>
    <row r="86" spans="1:8" x14ac:dyDescent="0.25">
      <c r="A86" s="31" t="str">
        <f>_xlfn.XLOOKUP(B86,RM!A:A,RM!B:B,2,0)</f>
        <v>Danilo Gomes</v>
      </c>
      <c r="B86" s="13" t="s">
        <v>132</v>
      </c>
      <c r="C86" s="1">
        <f t="shared" si="2"/>
        <v>1</v>
      </c>
      <c r="D86" s="2">
        <f>_xlfn.XLOOKUP(B86,din!B:B,din!F:F)</f>
        <v>1</v>
      </c>
      <c r="E86" s="2">
        <f>_xlfn.XLOOKUP(B86,din!B:B,din!D:D)</f>
        <v>1</v>
      </c>
      <c r="F86" s="12">
        <f>_xlfn.XLOOKUP(B86,din!B:B,din!C:C)</f>
        <v>0</v>
      </c>
    </row>
    <row r="87" spans="1:8" x14ac:dyDescent="0.25">
      <c r="A87" s="31" t="str">
        <f>_xlfn.XLOOKUP(B87,RM!A:A,RM!B:B,2,0)</f>
        <v>Thiago Santos</v>
      </c>
      <c r="B87" s="13" t="s">
        <v>88</v>
      </c>
      <c r="C87" s="1">
        <f t="shared" si="2"/>
        <v>1</v>
      </c>
      <c r="D87" s="2">
        <f>_xlfn.XLOOKUP(B87,din!B:B,din!F:F)</f>
        <v>1</v>
      </c>
      <c r="E87" s="2">
        <f>_xlfn.XLOOKUP(B87,din!B:B,din!D:D)</f>
        <v>1</v>
      </c>
      <c r="F87" s="12">
        <f>_xlfn.XLOOKUP(B87,din!B:B,din!C:C)</f>
        <v>0</v>
      </c>
    </row>
    <row r="88" spans="1:8" x14ac:dyDescent="0.25">
      <c r="A88" s="31" t="str">
        <f>_xlfn.XLOOKUP(B88,RM!A:A,RM!B:B,2,0)</f>
        <v>Danilo Gomes</v>
      </c>
      <c r="B88" s="13" t="s">
        <v>393</v>
      </c>
      <c r="C88" s="1">
        <f t="shared" si="2"/>
        <v>1</v>
      </c>
      <c r="D88" s="2">
        <f>_xlfn.XLOOKUP(B88,din!B:B,din!F:F)</f>
        <v>2</v>
      </c>
      <c r="E88" s="2">
        <f>_xlfn.XLOOKUP(B88,din!B:B,din!D:D)</f>
        <v>2</v>
      </c>
      <c r="F88" s="12">
        <f>_xlfn.XLOOKUP(B88,din!B:B,din!C:C)</f>
        <v>0</v>
      </c>
    </row>
  </sheetData>
  <autoFilter ref="A3:F88" xr:uid="{93DB9BEA-6200-4750-B722-6DA686BE7AB6}">
    <sortState xmlns:xlrd2="http://schemas.microsoft.com/office/spreadsheetml/2017/richdata2" ref="A4:F88">
      <sortCondition descending="1" ref="F3:F77"/>
    </sortState>
  </autoFilter>
  <mergeCells count="1">
    <mergeCell ref="A1:F1"/>
  </mergeCells>
  <conditionalFormatting sqref="B4:B23">
    <cfRule type="duplicateValues" dxfId="12" priority="63"/>
  </conditionalFormatting>
  <conditionalFormatting sqref="B4:B36">
    <cfRule type="duplicateValues" dxfId="11" priority="64"/>
  </conditionalFormatting>
  <conditionalFormatting sqref="C4:C88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{BE1D2D99-05FA-4ADB-9895-0AF8129734EE}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1D2D99-05FA-4ADB-9895-0AF812973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C4:C88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C57C-4E58-480B-AD51-5AA8B8B530A8}">
  <dimension ref="B3:F115"/>
  <sheetViews>
    <sheetView topLeftCell="A64" workbookViewId="0">
      <selection activeCell="B5" sqref="B5:B90"/>
    </sheetView>
  </sheetViews>
  <sheetFormatPr defaultRowHeight="15" x14ac:dyDescent="0.25"/>
  <cols>
    <col min="1" max="1" width="21.7109375" bestFit="1" customWidth="1"/>
    <col min="2" max="2" width="38.85546875" style="10" bestFit="1" customWidth="1"/>
    <col min="3" max="3" width="22.42578125" style="10" bestFit="1" customWidth="1"/>
    <col min="4" max="4" width="4.42578125" style="10" bestFit="1" customWidth="1"/>
    <col min="5" max="5" width="7" style="10" bestFit="1" customWidth="1"/>
    <col min="6" max="6" width="10.7109375" style="10" bestFit="1" customWidth="1"/>
  </cols>
  <sheetData>
    <row r="3" spans="2:6" x14ac:dyDescent="0.25">
      <c r="B3" s="11" t="s">
        <v>58</v>
      </c>
      <c r="C3" s="11" t="s">
        <v>14</v>
      </c>
    </row>
    <row r="4" spans="2:6" x14ac:dyDescent="0.25">
      <c r="B4" s="11" t="s">
        <v>11</v>
      </c>
      <c r="C4" s="10" t="s">
        <v>33</v>
      </c>
      <c r="D4" s="10" t="s">
        <v>32</v>
      </c>
      <c r="E4" s="10" t="s">
        <v>12</v>
      </c>
      <c r="F4" s="10" t="s">
        <v>13</v>
      </c>
    </row>
    <row r="5" spans="2:6" x14ac:dyDescent="0.25">
      <c r="B5" s="10" t="s">
        <v>15</v>
      </c>
      <c r="C5" s="10">
        <v>8</v>
      </c>
      <c r="D5" s="10">
        <v>2</v>
      </c>
      <c r="F5" s="10">
        <v>10</v>
      </c>
    </row>
    <row r="6" spans="2:6" x14ac:dyDescent="0.25">
      <c r="B6" s="10" t="s">
        <v>100</v>
      </c>
      <c r="C6" s="10">
        <v>2</v>
      </c>
      <c r="D6" s="10">
        <v>3</v>
      </c>
      <c r="F6" s="10">
        <v>5</v>
      </c>
    </row>
    <row r="7" spans="2:6" x14ac:dyDescent="0.25">
      <c r="B7" s="10" t="s">
        <v>60</v>
      </c>
      <c r="C7" s="10">
        <v>2</v>
      </c>
      <c r="D7" s="10">
        <v>2</v>
      </c>
      <c r="F7" s="10">
        <v>4</v>
      </c>
    </row>
    <row r="8" spans="2:6" x14ac:dyDescent="0.25">
      <c r="B8" s="10" t="s">
        <v>92</v>
      </c>
      <c r="C8" s="10">
        <v>4</v>
      </c>
      <c r="D8" s="10">
        <v>3</v>
      </c>
      <c r="F8" s="10">
        <v>7</v>
      </c>
    </row>
    <row r="9" spans="2:6" x14ac:dyDescent="0.25">
      <c r="B9" s="10" t="s">
        <v>127</v>
      </c>
      <c r="C9" s="10">
        <v>1</v>
      </c>
      <c r="D9" s="10">
        <v>2</v>
      </c>
      <c r="F9" s="10">
        <v>3</v>
      </c>
    </row>
    <row r="10" spans="2:6" x14ac:dyDescent="0.25">
      <c r="B10" s="10" t="s">
        <v>110</v>
      </c>
      <c r="C10" s="10">
        <v>5</v>
      </c>
      <c r="D10" s="10">
        <v>4</v>
      </c>
      <c r="F10" s="10">
        <v>9</v>
      </c>
    </row>
    <row r="11" spans="2:6" x14ac:dyDescent="0.25">
      <c r="B11" s="10" t="s">
        <v>38</v>
      </c>
      <c r="C11" s="10">
        <v>14</v>
      </c>
      <c r="D11" s="10">
        <v>8</v>
      </c>
      <c r="F11" s="10">
        <v>22</v>
      </c>
    </row>
    <row r="12" spans="2:6" x14ac:dyDescent="0.25">
      <c r="B12" s="10" t="s">
        <v>29</v>
      </c>
      <c r="C12" s="10">
        <v>1</v>
      </c>
      <c r="D12" s="10">
        <v>2</v>
      </c>
      <c r="F12" s="10">
        <v>3</v>
      </c>
    </row>
    <row r="13" spans="2:6" x14ac:dyDescent="0.25">
      <c r="B13" s="10" t="s">
        <v>64</v>
      </c>
      <c r="C13" s="10">
        <v>8</v>
      </c>
      <c r="D13" s="10">
        <v>5</v>
      </c>
      <c r="F13" s="10">
        <v>13</v>
      </c>
    </row>
    <row r="14" spans="2:6" x14ac:dyDescent="0.25">
      <c r="B14" s="10" t="s">
        <v>27</v>
      </c>
      <c r="C14" s="10">
        <v>6</v>
      </c>
      <c r="D14" s="10">
        <v>6</v>
      </c>
      <c r="F14" s="10">
        <v>12</v>
      </c>
    </row>
    <row r="15" spans="2:6" x14ac:dyDescent="0.25">
      <c r="B15" s="10" t="s">
        <v>48</v>
      </c>
      <c r="C15" s="10">
        <v>1</v>
      </c>
      <c r="D15" s="10">
        <v>2</v>
      </c>
      <c r="F15" s="10">
        <v>3</v>
      </c>
    </row>
    <row r="16" spans="2:6" x14ac:dyDescent="0.25">
      <c r="B16" s="10" t="s">
        <v>30</v>
      </c>
      <c r="C16" s="10">
        <v>1</v>
      </c>
      <c r="D16" s="10">
        <v>13</v>
      </c>
      <c r="F16" s="10">
        <v>14</v>
      </c>
    </row>
    <row r="17" spans="2:6" x14ac:dyDescent="0.25">
      <c r="B17" s="10" t="s">
        <v>124</v>
      </c>
      <c r="D17" s="10">
        <v>2</v>
      </c>
      <c r="F17" s="10">
        <v>2</v>
      </c>
    </row>
    <row r="18" spans="2:6" x14ac:dyDescent="0.25">
      <c r="B18" s="10" t="s">
        <v>76</v>
      </c>
      <c r="C18" s="10">
        <v>1</v>
      </c>
      <c r="D18" s="10">
        <v>1</v>
      </c>
      <c r="F18" s="10">
        <v>2</v>
      </c>
    </row>
    <row r="19" spans="2:6" x14ac:dyDescent="0.25">
      <c r="B19" s="10" t="s">
        <v>94</v>
      </c>
      <c r="D19" s="10">
        <v>1</v>
      </c>
      <c r="F19" s="10">
        <v>1</v>
      </c>
    </row>
    <row r="20" spans="2:6" x14ac:dyDescent="0.25">
      <c r="B20" s="10" t="s">
        <v>25</v>
      </c>
      <c r="C20" s="10">
        <v>7</v>
      </c>
      <c r="D20" s="10">
        <v>3</v>
      </c>
      <c r="F20" s="10">
        <v>10</v>
      </c>
    </row>
    <row r="21" spans="2:6" x14ac:dyDescent="0.25">
      <c r="B21" s="10" t="s">
        <v>21</v>
      </c>
      <c r="D21" s="10">
        <v>3</v>
      </c>
      <c r="F21" s="10">
        <v>3</v>
      </c>
    </row>
    <row r="22" spans="2:6" x14ac:dyDescent="0.25">
      <c r="B22" s="10" t="s">
        <v>113</v>
      </c>
      <c r="C22" s="10">
        <v>2</v>
      </c>
      <c r="F22" s="10">
        <v>2</v>
      </c>
    </row>
    <row r="23" spans="2:6" x14ac:dyDescent="0.25">
      <c r="B23" s="10" t="s">
        <v>18</v>
      </c>
      <c r="C23" s="10">
        <v>2</v>
      </c>
      <c r="D23" s="10">
        <v>3</v>
      </c>
      <c r="F23" s="10">
        <v>5</v>
      </c>
    </row>
    <row r="24" spans="2:6" x14ac:dyDescent="0.25">
      <c r="B24" s="10" t="s">
        <v>151</v>
      </c>
      <c r="C24" s="10">
        <v>1</v>
      </c>
      <c r="F24" s="10">
        <v>1</v>
      </c>
    </row>
    <row r="25" spans="2:6" x14ac:dyDescent="0.25">
      <c r="B25" s="10" t="s">
        <v>122</v>
      </c>
      <c r="C25" s="10">
        <v>1</v>
      </c>
      <c r="F25" s="10">
        <v>1</v>
      </c>
    </row>
    <row r="26" spans="2:6" x14ac:dyDescent="0.25">
      <c r="B26" s="10" t="s">
        <v>84</v>
      </c>
      <c r="D26" s="10">
        <v>2</v>
      </c>
      <c r="F26" s="10">
        <v>2</v>
      </c>
    </row>
    <row r="27" spans="2:6" x14ac:dyDescent="0.25">
      <c r="B27" s="10" t="s">
        <v>125</v>
      </c>
      <c r="C27" s="10">
        <v>1</v>
      </c>
      <c r="F27" s="10">
        <v>1</v>
      </c>
    </row>
    <row r="28" spans="2:6" x14ac:dyDescent="0.25">
      <c r="B28" s="10" t="s">
        <v>131</v>
      </c>
      <c r="D28" s="10">
        <v>1</v>
      </c>
      <c r="F28" s="10">
        <v>1</v>
      </c>
    </row>
    <row r="29" spans="2:6" x14ac:dyDescent="0.25">
      <c r="B29" s="10" t="s">
        <v>37</v>
      </c>
      <c r="C29" s="10">
        <v>1</v>
      </c>
      <c r="F29" s="10">
        <v>1</v>
      </c>
    </row>
    <row r="30" spans="2:6" x14ac:dyDescent="0.25">
      <c r="B30" s="10" t="s">
        <v>67</v>
      </c>
      <c r="C30" s="10">
        <v>1</v>
      </c>
      <c r="D30" s="10">
        <v>1</v>
      </c>
      <c r="F30" s="10">
        <v>2</v>
      </c>
    </row>
    <row r="31" spans="2:6" x14ac:dyDescent="0.25">
      <c r="B31" s="10" t="s">
        <v>80</v>
      </c>
      <c r="D31" s="10">
        <v>1</v>
      </c>
      <c r="F31" s="10">
        <v>1</v>
      </c>
    </row>
    <row r="32" spans="2:6" x14ac:dyDescent="0.25">
      <c r="B32" s="10" t="s">
        <v>61</v>
      </c>
      <c r="C32" s="10">
        <v>1</v>
      </c>
      <c r="D32" s="10">
        <v>10</v>
      </c>
      <c r="F32" s="10">
        <v>11</v>
      </c>
    </row>
    <row r="33" spans="2:6" x14ac:dyDescent="0.25">
      <c r="B33" s="10" t="s">
        <v>99</v>
      </c>
      <c r="C33" s="10">
        <v>1</v>
      </c>
      <c r="D33" s="10">
        <v>1</v>
      </c>
      <c r="F33" s="10">
        <v>2</v>
      </c>
    </row>
    <row r="34" spans="2:6" x14ac:dyDescent="0.25">
      <c r="B34" s="10" t="s">
        <v>63</v>
      </c>
      <c r="C34" s="10">
        <v>2</v>
      </c>
      <c r="F34" s="10">
        <v>2</v>
      </c>
    </row>
    <row r="35" spans="2:6" x14ac:dyDescent="0.25">
      <c r="B35" s="10" t="s">
        <v>72</v>
      </c>
      <c r="C35" s="10">
        <v>2</v>
      </c>
      <c r="D35" s="10">
        <v>2</v>
      </c>
      <c r="F35" s="10">
        <v>4</v>
      </c>
    </row>
    <row r="36" spans="2:6" x14ac:dyDescent="0.25">
      <c r="B36" s="10" t="s">
        <v>35</v>
      </c>
      <c r="C36" s="10">
        <v>1</v>
      </c>
      <c r="D36" s="10">
        <v>3</v>
      </c>
      <c r="F36" s="10">
        <v>4</v>
      </c>
    </row>
    <row r="37" spans="2:6" x14ac:dyDescent="0.25">
      <c r="B37" s="10" t="s">
        <v>126</v>
      </c>
      <c r="C37" s="10">
        <v>2</v>
      </c>
      <c r="D37" s="10">
        <v>1</v>
      </c>
      <c r="F37" s="10">
        <v>3</v>
      </c>
    </row>
    <row r="38" spans="2:6" x14ac:dyDescent="0.25">
      <c r="B38" s="10" t="s">
        <v>112</v>
      </c>
      <c r="C38" s="10">
        <v>1</v>
      </c>
      <c r="D38" s="10">
        <v>3</v>
      </c>
      <c r="F38" s="10">
        <v>4</v>
      </c>
    </row>
    <row r="39" spans="2:6" x14ac:dyDescent="0.25">
      <c r="B39" s="10" t="s">
        <v>82</v>
      </c>
      <c r="C39" s="10">
        <v>2</v>
      </c>
      <c r="D39" s="10">
        <v>1</v>
      </c>
      <c r="F39" s="10">
        <v>3</v>
      </c>
    </row>
    <row r="40" spans="2:6" x14ac:dyDescent="0.25">
      <c r="B40" s="10" t="s">
        <v>68</v>
      </c>
      <c r="D40" s="10">
        <v>1</v>
      </c>
      <c r="F40" s="10">
        <v>1</v>
      </c>
    </row>
    <row r="41" spans="2:6" x14ac:dyDescent="0.25">
      <c r="B41" s="10" t="s">
        <v>20</v>
      </c>
      <c r="C41" s="10">
        <v>3</v>
      </c>
      <c r="D41" s="10">
        <v>4</v>
      </c>
      <c r="F41" s="10">
        <v>7</v>
      </c>
    </row>
    <row r="42" spans="2:6" x14ac:dyDescent="0.25">
      <c r="B42" s="10" t="s">
        <v>86</v>
      </c>
      <c r="D42" s="10">
        <v>3</v>
      </c>
      <c r="F42" s="10">
        <v>3</v>
      </c>
    </row>
    <row r="43" spans="2:6" x14ac:dyDescent="0.25">
      <c r="B43" s="10" t="s">
        <v>71</v>
      </c>
      <c r="C43" s="10">
        <v>1</v>
      </c>
      <c r="D43" s="10">
        <v>2</v>
      </c>
      <c r="F43" s="10">
        <v>3</v>
      </c>
    </row>
    <row r="44" spans="2:6" x14ac:dyDescent="0.25">
      <c r="B44" s="10" t="s">
        <v>90</v>
      </c>
      <c r="C44" s="10">
        <v>1</v>
      </c>
      <c r="D44" s="10">
        <v>3</v>
      </c>
      <c r="F44" s="10">
        <v>4</v>
      </c>
    </row>
    <row r="45" spans="2:6" x14ac:dyDescent="0.25">
      <c r="B45" s="10" t="s">
        <v>114</v>
      </c>
      <c r="C45" s="10">
        <v>1</v>
      </c>
      <c r="F45" s="10">
        <v>1</v>
      </c>
    </row>
    <row r="46" spans="2:6" x14ac:dyDescent="0.25">
      <c r="B46" s="10" t="s">
        <v>28</v>
      </c>
      <c r="C46" s="10">
        <v>1</v>
      </c>
      <c r="D46" s="10">
        <v>2</v>
      </c>
      <c r="F46" s="10">
        <v>3</v>
      </c>
    </row>
    <row r="47" spans="2:6" x14ac:dyDescent="0.25">
      <c r="B47" s="10" t="s">
        <v>23</v>
      </c>
      <c r="C47" s="10">
        <v>4</v>
      </c>
      <c r="D47" s="10">
        <v>5</v>
      </c>
      <c r="F47" s="10">
        <v>9</v>
      </c>
    </row>
    <row r="48" spans="2:6" x14ac:dyDescent="0.25">
      <c r="B48" s="10" t="s">
        <v>65</v>
      </c>
      <c r="C48" s="10">
        <v>1</v>
      </c>
      <c r="F48" s="10">
        <v>1</v>
      </c>
    </row>
    <row r="49" spans="2:6" x14ac:dyDescent="0.25">
      <c r="B49" s="10" t="s">
        <v>145</v>
      </c>
      <c r="C49" s="10">
        <v>1</v>
      </c>
      <c r="F49" s="10">
        <v>1</v>
      </c>
    </row>
    <row r="50" spans="2:6" x14ac:dyDescent="0.25">
      <c r="B50" s="10" t="s">
        <v>111</v>
      </c>
      <c r="C50" s="10">
        <v>1</v>
      </c>
      <c r="F50" s="10">
        <v>1</v>
      </c>
    </row>
    <row r="51" spans="2:6" x14ac:dyDescent="0.25">
      <c r="B51" s="10" t="s">
        <v>97</v>
      </c>
      <c r="C51" s="10">
        <v>1</v>
      </c>
      <c r="D51" s="10">
        <v>1</v>
      </c>
      <c r="F51" s="10">
        <v>2</v>
      </c>
    </row>
    <row r="52" spans="2:6" x14ac:dyDescent="0.25">
      <c r="B52" s="10" t="s">
        <v>135</v>
      </c>
      <c r="C52" s="10">
        <v>1</v>
      </c>
      <c r="F52" s="10">
        <v>1</v>
      </c>
    </row>
    <row r="53" spans="2:6" x14ac:dyDescent="0.25">
      <c r="B53" s="10" t="s">
        <v>83</v>
      </c>
      <c r="C53" s="10">
        <v>1</v>
      </c>
      <c r="D53" s="10">
        <v>1</v>
      </c>
      <c r="F53" s="10">
        <v>2</v>
      </c>
    </row>
    <row r="54" spans="2:6" x14ac:dyDescent="0.25">
      <c r="B54" s="10" t="s">
        <v>93</v>
      </c>
      <c r="C54" s="10">
        <v>1</v>
      </c>
      <c r="F54" s="10">
        <v>1</v>
      </c>
    </row>
    <row r="55" spans="2:6" x14ac:dyDescent="0.25">
      <c r="B55" s="10" t="s">
        <v>101</v>
      </c>
      <c r="D55" s="10">
        <v>1</v>
      </c>
      <c r="F55" s="10">
        <v>1</v>
      </c>
    </row>
    <row r="56" spans="2:6" x14ac:dyDescent="0.25">
      <c r="B56" s="10" t="s">
        <v>102</v>
      </c>
      <c r="D56" s="10">
        <v>1</v>
      </c>
      <c r="F56" s="10">
        <v>1</v>
      </c>
    </row>
    <row r="57" spans="2:6" x14ac:dyDescent="0.25">
      <c r="B57" s="10" t="s">
        <v>81</v>
      </c>
      <c r="C57" s="10">
        <v>1</v>
      </c>
      <c r="F57" s="10">
        <v>1</v>
      </c>
    </row>
    <row r="58" spans="2:6" x14ac:dyDescent="0.25">
      <c r="B58" s="10" t="s">
        <v>46</v>
      </c>
      <c r="D58" s="10">
        <v>3</v>
      </c>
      <c r="F58" s="10">
        <v>3</v>
      </c>
    </row>
    <row r="59" spans="2:6" x14ac:dyDescent="0.25">
      <c r="B59" s="10" t="s">
        <v>70</v>
      </c>
      <c r="C59" s="10">
        <v>1</v>
      </c>
      <c r="D59" s="10">
        <v>1</v>
      </c>
      <c r="F59" s="10">
        <v>2</v>
      </c>
    </row>
    <row r="60" spans="2:6" x14ac:dyDescent="0.25">
      <c r="B60" s="10" t="s">
        <v>146</v>
      </c>
      <c r="D60" s="10">
        <v>2</v>
      </c>
      <c r="F60" s="10">
        <v>2</v>
      </c>
    </row>
    <row r="61" spans="2:6" x14ac:dyDescent="0.25">
      <c r="B61" s="10" t="s">
        <v>36</v>
      </c>
      <c r="C61" s="10">
        <v>2</v>
      </c>
      <c r="F61" s="10">
        <v>2</v>
      </c>
    </row>
    <row r="62" spans="2:6" x14ac:dyDescent="0.25">
      <c r="B62" s="10" t="s">
        <v>103</v>
      </c>
      <c r="C62" s="10">
        <v>1</v>
      </c>
      <c r="D62" s="10">
        <v>7</v>
      </c>
      <c r="F62" s="10">
        <v>8</v>
      </c>
    </row>
    <row r="63" spans="2:6" x14ac:dyDescent="0.25">
      <c r="B63" s="10" t="s">
        <v>19</v>
      </c>
      <c r="C63" s="10">
        <v>1</v>
      </c>
      <c r="D63" s="10">
        <v>5</v>
      </c>
      <c r="F63" s="10">
        <v>6</v>
      </c>
    </row>
    <row r="64" spans="2:6" x14ac:dyDescent="0.25">
      <c r="B64" s="10" t="s">
        <v>34</v>
      </c>
      <c r="C64" s="10">
        <v>10</v>
      </c>
      <c r="D64" s="10">
        <v>5</v>
      </c>
      <c r="F64" s="10">
        <v>15</v>
      </c>
    </row>
    <row r="65" spans="2:6" x14ac:dyDescent="0.25">
      <c r="B65" s="10" t="s">
        <v>78</v>
      </c>
      <c r="D65" s="10">
        <v>1</v>
      </c>
      <c r="F65" s="10">
        <v>1</v>
      </c>
    </row>
    <row r="66" spans="2:6" x14ac:dyDescent="0.25">
      <c r="B66" s="10" t="s">
        <v>44</v>
      </c>
      <c r="C66" s="10">
        <v>5</v>
      </c>
      <c r="D66" s="10">
        <v>3</v>
      </c>
      <c r="F66" s="10">
        <v>8</v>
      </c>
    </row>
    <row r="67" spans="2:6" x14ac:dyDescent="0.25">
      <c r="B67" s="10" t="s">
        <v>69</v>
      </c>
      <c r="C67" s="10">
        <v>1</v>
      </c>
      <c r="D67" s="10">
        <v>1</v>
      </c>
      <c r="F67" s="10">
        <v>2</v>
      </c>
    </row>
    <row r="68" spans="2:6" x14ac:dyDescent="0.25">
      <c r="B68" s="10" t="s">
        <v>24</v>
      </c>
      <c r="C68" s="10">
        <v>22</v>
      </c>
      <c r="D68" s="10">
        <v>10</v>
      </c>
      <c r="F68" s="10">
        <v>32</v>
      </c>
    </row>
    <row r="69" spans="2:6" x14ac:dyDescent="0.25">
      <c r="B69" s="10" t="s">
        <v>109</v>
      </c>
      <c r="C69" s="10">
        <v>2</v>
      </c>
      <c r="D69" s="10">
        <v>1</v>
      </c>
      <c r="F69" s="10">
        <v>3</v>
      </c>
    </row>
    <row r="70" spans="2:6" x14ac:dyDescent="0.25">
      <c r="B70" s="10" t="s">
        <v>22</v>
      </c>
      <c r="C70" s="10">
        <v>4</v>
      </c>
      <c r="D70" s="10">
        <v>2</v>
      </c>
      <c r="F70" s="10">
        <v>6</v>
      </c>
    </row>
    <row r="71" spans="2:6" x14ac:dyDescent="0.25">
      <c r="B71" s="10" t="s">
        <v>47</v>
      </c>
      <c r="C71" s="10">
        <v>1</v>
      </c>
      <c r="D71" s="10">
        <v>1</v>
      </c>
      <c r="F71" s="10">
        <v>2</v>
      </c>
    </row>
    <row r="72" spans="2:6" x14ac:dyDescent="0.25">
      <c r="B72" s="10" t="s">
        <v>26</v>
      </c>
      <c r="C72" s="10">
        <v>6</v>
      </c>
      <c r="D72" s="10">
        <v>6</v>
      </c>
      <c r="F72" s="10">
        <v>12</v>
      </c>
    </row>
    <row r="73" spans="2:6" x14ac:dyDescent="0.25">
      <c r="B73" s="10" t="s">
        <v>73</v>
      </c>
      <c r="C73" s="10">
        <v>3</v>
      </c>
      <c r="D73" s="10">
        <v>3</v>
      </c>
      <c r="F73" s="10">
        <v>6</v>
      </c>
    </row>
    <row r="74" spans="2:6" x14ac:dyDescent="0.25">
      <c r="B74" s="10" t="s">
        <v>17</v>
      </c>
      <c r="C74" s="10">
        <v>6</v>
      </c>
      <c r="D74" s="10">
        <v>5</v>
      </c>
      <c r="F74" s="10">
        <v>11</v>
      </c>
    </row>
    <row r="75" spans="2:6" x14ac:dyDescent="0.25">
      <c r="B75" s="10" t="s">
        <v>39</v>
      </c>
      <c r="C75" s="10">
        <v>12</v>
      </c>
      <c r="D75" s="10">
        <v>17</v>
      </c>
      <c r="F75" s="10">
        <v>29</v>
      </c>
    </row>
    <row r="76" spans="2:6" x14ac:dyDescent="0.25">
      <c r="B76" s="10" t="s">
        <v>95</v>
      </c>
      <c r="C76" s="10">
        <v>6</v>
      </c>
      <c r="D76" s="10">
        <v>3</v>
      </c>
      <c r="F76" s="10">
        <v>9</v>
      </c>
    </row>
    <row r="77" spans="2:6" x14ac:dyDescent="0.25">
      <c r="B77" s="10" t="s">
        <v>118</v>
      </c>
      <c r="C77" s="10">
        <v>2</v>
      </c>
      <c r="D77" s="10">
        <v>1</v>
      </c>
      <c r="F77" s="10">
        <v>3</v>
      </c>
    </row>
    <row r="78" spans="2:6" x14ac:dyDescent="0.25">
      <c r="B78" s="10" t="s">
        <v>62</v>
      </c>
      <c r="C78" s="10">
        <v>1</v>
      </c>
      <c r="F78" s="10">
        <v>1</v>
      </c>
    </row>
    <row r="79" spans="2:6" x14ac:dyDescent="0.25">
      <c r="B79" s="10" t="s">
        <v>12</v>
      </c>
    </row>
    <row r="80" spans="2:6" x14ac:dyDescent="0.25">
      <c r="B80" s="10" t="s">
        <v>139</v>
      </c>
      <c r="C80" s="10">
        <v>5</v>
      </c>
      <c r="D80" s="10">
        <v>1</v>
      </c>
      <c r="F80" s="10">
        <v>6</v>
      </c>
    </row>
    <row r="81" spans="2:6" x14ac:dyDescent="0.25">
      <c r="B81" s="10" t="s">
        <v>106</v>
      </c>
      <c r="D81" s="10">
        <v>1</v>
      </c>
      <c r="F81" s="10">
        <v>1</v>
      </c>
    </row>
    <row r="82" spans="2:6" x14ac:dyDescent="0.25">
      <c r="B82" s="10" t="s">
        <v>79</v>
      </c>
      <c r="C82" s="10">
        <v>1</v>
      </c>
      <c r="F82" s="10">
        <v>1</v>
      </c>
    </row>
    <row r="83" spans="2:6" x14ac:dyDescent="0.25">
      <c r="B83" s="10" t="s">
        <v>77</v>
      </c>
      <c r="C83" s="10">
        <v>1</v>
      </c>
      <c r="F83" s="10">
        <v>1</v>
      </c>
    </row>
    <row r="84" spans="2:6" x14ac:dyDescent="0.25">
      <c r="B84" s="10" t="s">
        <v>137</v>
      </c>
      <c r="D84" s="10">
        <v>1</v>
      </c>
      <c r="F84" s="10">
        <v>1</v>
      </c>
    </row>
    <row r="85" spans="2:6" x14ac:dyDescent="0.25">
      <c r="B85" s="10" t="s">
        <v>132</v>
      </c>
      <c r="D85" s="10">
        <v>1</v>
      </c>
      <c r="F85" s="10">
        <v>1</v>
      </c>
    </row>
    <row r="86" spans="2:6" x14ac:dyDescent="0.25">
      <c r="B86" s="10" t="s">
        <v>74</v>
      </c>
      <c r="C86" s="10">
        <v>3</v>
      </c>
      <c r="F86" s="10">
        <v>3</v>
      </c>
    </row>
    <row r="87" spans="2:6" x14ac:dyDescent="0.25">
      <c r="B87" s="10" t="s">
        <v>88</v>
      </c>
      <c r="D87" s="10">
        <v>1</v>
      </c>
      <c r="F87" s="10">
        <v>1</v>
      </c>
    </row>
    <row r="88" spans="2:6" x14ac:dyDescent="0.25">
      <c r="B88" s="10" t="s">
        <v>1095</v>
      </c>
      <c r="C88" s="10">
        <v>1</v>
      </c>
      <c r="F88" s="10">
        <v>1</v>
      </c>
    </row>
    <row r="89" spans="2:6" x14ac:dyDescent="0.25">
      <c r="B89" s="10" t="s">
        <v>140</v>
      </c>
      <c r="C89" s="10">
        <v>1</v>
      </c>
      <c r="D89" s="10">
        <v>1</v>
      </c>
      <c r="F89" s="10">
        <v>2</v>
      </c>
    </row>
    <row r="90" spans="2:6" x14ac:dyDescent="0.25">
      <c r="B90" s="10" t="s">
        <v>393</v>
      </c>
      <c r="D90" s="10">
        <v>2</v>
      </c>
      <c r="F90" s="10">
        <v>2</v>
      </c>
    </row>
    <row r="91" spans="2:6" x14ac:dyDescent="0.25">
      <c r="B91" s="10" t="s">
        <v>13</v>
      </c>
      <c r="C91" s="10">
        <v>199</v>
      </c>
      <c r="D91" s="10">
        <v>200</v>
      </c>
      <c r="F91" s="10">
        <v>399</v>
      </c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887D-E116-4B61-AC43-D19ADBEF76A2}">
  <dimension ref="A1:J1262"/>
  <sheetViews>
    <sheetView tabSelected="1" topLeftCell="A1206" workbookViewId="0">
      <selection sqref="A1:J1241"/>
    </sheetView>
  </sheetViews>
  <sheetFormatPr defaultRowHeight="15" x14ac:dyDescent="0.25"/>
  <cols>
    <col min="1" max="1" width="14.28515625" customWidth="1"/>
    <col min="2" max="2" width="17.28515625" customWidth="1"/>
    <col min="3" max="3" width="18.85546875" customWidth="1"/>
    <col min="4" max="4" width="18.42578125" customWidth="1"/>
    <col min="5" max="5" width="16.42578125" customWidth="1"/>
    <col min="6" max="6" width="13.140625" customWidth="1"/>
    <col min="7" max="7" width="13.28515625" customWidth="1"/>
    <col min="8" max="8" width="20.7109375" customWidth="1"/>
    <col min="9" max="9" width="15.140625" customWidth="1"/>
  </cols>
  <sheetData>
    <row r="1" spans="1:10" ht="38.25" x14ac:dyDescent="0.25">
      <c r="A1" s="8" t="s">
        <v>49</v>
      </c>
      <c r="B1" s="9" t="s">
        <v>50</v>
      </c>
      <c r="C1" s="9" t="s">
        <v>51</v>
      </c>
      <c r="D1" s="9" t="s">
        <v>52</v>
      </c>
      <c r="E1" s="9" t="s">
        <v>53</v>
      </c>
      <c r="F1" s="9" t="s">
        <v>54</v>
      </c>
      <c r="G1" s="9" t="s">
        <v>55</v>
      </c>
      <c r="H1" s="9" t="s">
        <v>56</v>
      </c>
      <c r="I1" s="9" t="s">
        <v>57</v>
      </c>
      <c r="J1" s="44" t="s">
        <v>143</v>
      </c>
    </row>
    <row r="2" spans="1:10" x14ac:dyDescent="0.25">
      <c r="A2" s="40" t="s">
        <v>152</v>
      </c>
      <c r="B2" s="41">
        <v>999881956082735</v>
      </c>
      <c r="C2" s="40" t="s">
        <v>41</v>
      </c>
      <c r="D2" s="40" t="s">
        <v>10</v>
      </c>
      <c r="E2" s="40" t="s">
        <v>153</v>
      </c>
      <c r="F2" s="40" t="s">
        <v>22</v>
      </c>
      <c r="G2" s="40" t="s">
        <v>16</v>
      </c>
      <c r="H2" s="40">
        <v>0</v>
      </c>
      <c r="I2" s="37" t="s">
        <v>33</v>
      </c>
      <c r="J2" t="str">
        <f>VLOOKUP(F2,'[1]BASE DE DADOS'!$A:$C,3,0)</f>
        <v>DANILO GOMES DA SILVA</v>
      </c>
    </row>
    <row r="3" spans="1:10" x14ac:dyDescent="0.25">
      <c r="A3" s="40" t="s">
        <v>154</v>
      </c>
      <c r="B3" s="41">
        <v>999882009737373</v>
      </c>
      <c r="C3" s="40" t="s">
        <v>40</v>
      </c>
      <c r="D3" s="40" t="s">
        <v>10</v>
      </c>
      <c r="E3" s="40" t="s">
        <v>155</v>
      </c>
      <c r="F3" s="40" t="s">
        <v>71</v>
      </c>
      <c r="G3" s="40" t="s">
        <v>16</v>
      </c>
      <c r="H3" s="40" t="s">
        <v>470</v>
      </c>
      <c r="I3" s="37" t="s">
        <v>32</v>
      </c>
      <c r="J3" t="str">
        <f>VLOOKUP(F3,'[1]BASE DE DADOS'!$A:$C,3,0)</f>
        <v>THIAGO SANTOS SILVA</v>
      </c>
    </row>
    <row r="4" spans="1:10" x14ac:dyDescent="0.25">
      <c r="A4" s="40" t="s">
        <v>156</v>
      </c>
      <c r="B4" s="41">
        <v>999881991310957</v>
      </c>
      <c r="C4" s="40" t="s">
        <v>40</v>
      </c>
      <c r="D4" s="40" t="s">
        <v>10</v>
      </c>
      <c r="E4" s="40" t="s">
        <v>157</v>
      </c>
      <c r="F4" s="40" t="s">
        <v>24</v>
      </c>
      <c r="G4" s="40" t="s">
        <v>16</v>
      </c>
      <c r="H4" s="40" t="s">
        <v>895</v>
      </c>
      <c r="I4" s="37" t="s">
        <v>32</v>
      </c>
      <c r="J4" t="str">
        <f>VLOOKUP(F4,'[1]BASE DE DADOS'!$A:$C,3,0)</f>
        <v>THIAGO SANTOS SILVA</v>
      </c>
    </row>
    <row r="5" spans="1:10" x14ac:dyDescent="0.25">
      <c r="A5" s="40" t="s">
        <v>158</v>
      </c>
      <c r="B5" s="41">
        <v>999882024015515</v>
      </c>
      <c r="C5" s="40" t="s">
        <v>40</v>
      </c>
      <c r="D5" s="40" t="s">
        <v>10</v>
      </c>
      <c r="E5" s="40" t="s">
        <v>159</v>
      </c>
      <c r="F5" s="40" t="s">
        <v>30</v>
      </c>
      <c r="G5" s="40" t="s">
        <v>16</v>
      </c>
      <c r="H5" s="40" t="s">
        <v>471</v>
      </c>
      <c r="I5" s="37" t="s">
        <v>32</v>
      </c>
      <c r="J5" t="str">
        <f>VLOOKUP(F5,'[1]BASE DE DADOS'!$A:$C,3,0)</f>
        <v>DANILO GOMES DA SILVA</v>
      </c>
    </row>
    <row r="6" spans="1:10" x14ac:dyDescent="0.25">
      <c r="A6" s="40" t="s">
        <v>160</v>
      </c>
      <c r="B6" s="41">
        <v>999881970012728</v>
      </c>
      <c r="C6" s="40" t="s">
        <v>41</v>
      </c>
      <c r="D6" s="40" t="s">
        <v>10</v>
      </c>
      <c r="E6" s="40" t="s">
        <v>161</v>
      </c>
      <c r="F6" s="40" t="s">
        <v>20</v>
      </c>
      <c r="G6" s="40" t="s">
        <v>16</v>
      </c>
      <c r="H6" s="40">
        <v>0</v>
      </c>
      <c r="I6" s="37" t="s">
        <v>33</v>
      </c>
      <c r="J6" t="str">
        <f>VLOOKUP(F6,'[1]BASE DE DADOS'!$A:$C,3,0)</f>
        <v>THIAGO SANTOS SILVA</v>
      </c>
    </row>
    <row r="7" spans="1:10" x14ac:dyDescent="0.25">
      <c r="A7" s="40" t="s">
        <v>162</v>
      </c>
      <c r="B7" s="41">
        <v>999882004999913</v>
      </c>
      <c r="C7" s="40" t="s">
        <v>40</v>
      </c>
      <c r="D7" s="40" t="s">
        <v>10</v>
      </c>
      <c r="E7" s="40" t="s">
        <v>163</v>
      </c>
      <c r="F7" s="40" t="s">
        <v>24</v>
      </c>
      <c r="G7" s="40" t="s">
        <v>16</v>
      </c>
      <c r="H7" s="40">
        <v>0</v>
      </c>
      <c r="I7" s="37" t="s">
        <v>33</v>
      </c>
      <c r="J7" t="str">
        <f>VLOOKUP(F7,'[1]BASE DE DADOS'!$A:$C,3,0)</f>
        <v>THIAGO SANTOS SILVA</v>
      </c>
    </row>
    <row r="8" spans="1:10" x14ac:dyDescent="0.25">
      <c r="A8" s="40" t="s">
        <v>164</v>
      </c>
      <c r="B8" s="41">
        <v>999881944404526</v>
      </c>
      <c r="C8" s="40" t="s">
        <v>40</v>
      </c>
      <c r="D8" s="40" t="s">
        <v>10</v>
      </c>
      <c r="E8" s="40" t="s">
        <v>165</v>
      </c>
      <c r="F8" s="40" t="s">
        <v>15</v>
      </c>
      <c r="G8" s="40" t="s">
        <v>16</v>
      </c>
      <c r="H8" s="40">
        <v>0</v>
      </c>
      <c r="I8" s="37" t="s">
        <v>33</v>
      </c>
      <c r="J8" t="str">
        <f>VLOOKUP(F8,'[1]BASE DE DADOS'!$A:$C,3,0)</f>
        <v>DANILO GOMES DA SILVA</v>
      </c>
    </row>
    <row r="9" spans="1:10" x14ac:dyDescent="0.25">
      <c r="A9" s="40" t="s">
        <v>166</v>
      </c>
      <c r="B9" s="41">
        <v>999882001712152</v>
      </c>
      <c r="C9" s="40" t="s">
        <v>40</v>
      </c>
      <c r="D9" s="40" t="s">
        <v>10</v>
      </c>
      <c r="E9" s="40" t="s">
        <v>167</v>
      </c>
      <c r="F9" s="40" t="s">
        <v>84</v>
      </c>
      <c r="G9" s="40" t="s">
        <v>16</v>
      </c>
      <c r="H9" s="40" t="s">
        <v>472</v>
      </c>
      <c r="I9" s="37" t="s">
        <v>32</v>
      </c>
      <c r="J9" t="str">
        <f>VLOOKUP(F9,'[1]BASE DE DADOS'!$A:$C,3,0)</f>
        <v>THIAGO SANTOS SILVA</v>
      </c>
    </row>
    <row r="10" spans="1:10" x14ac:dyDescent="0.25">
      <c r="A10" s="40" t="s">
        <v>168</v>
      </c>
      <c r="B10" s="41">
        <v>999881975403178</v>
      </c>
      <c r="C10" s="40" t="s">
        <v>40</v>
      </c>
      <c r="D10" s="40" t="s">
        <v>10</v>
      </c>
      <c r="E10" s="40" t="s">
        <v>169</v>
      </c>
      <c r="F10" s="40" t="s">
        <v>64</v>
      </c>
      <c r="G10" s="40" t="s">
        <v>16</v>
      </c>
      <c r="H10" s="40" t="s">
        <v>220</v>
      </c>
      <c r="I10" s="37" t="s">
        <v>32</v>
      </c>
      <c r="J10" t="str">
        <f>VLOOKUP(F10,'[1]BASE DE DADOS'!$A:$C,3,0)</f>
        <v>THIAGO SANTOS SILVA</v>
      </c>
    </row>
    <row r="11" spans="1:10" x14ac:dyDescent="0.25">
      <c r="A11" s="40" t="s">
        <v>170</v>
      </c>
      <c r="B11" s="41">
        <v>999882012302110</v>
      </c>
      <c r="C11" s="40" t="s">
        <v>40</v>
      </c>
      <c r="D11" s="40" t="s">
        <v>10</v>
      </c>
      <c r="E11" s="40" t="s">
        <v>171</v>
      </c>
      <c r="F11" s="40" t="s">
        <v>103</v>
      </c>
      <c r="G11" s="40" t="s">
        <v>16</v>
      </c>
      <c r="H11" s="40" t="s">
        <v>473</v>
      </c>
      <c r="I11" s="37" t="s">
        <v>32</v>
      </c>
      <c r="J11" t="str">
        <f>VLOOKUP(F11,'[1]BASE DE DADOS'!$A:$C,3,0)</f>
        <v>DANILO GOMES DA SILVA</v>
      </c>
    </row>
    <row r="12" spans="1:10" x14ac:dyDescent="0.25">
      <c r="A12" s="40" t="s">
        <v>172</v>
      </c>
      <c r="B12" s="41">
        <v>999882025485969</v>
      </c>
      <c r="C12" s="40" t="s">
        <v>40</v>
      </c>
      <c r="D12" s="40" t="s">
        <v>10</v>
      </c>
      <c r="E12" s="40" t="s">
        <v>173</v>
      </c>
      <c r="F12" s="40" t="s">
        <v>19</v>
      </c>
      <c r="G12" s="40" t="s">
        <v>16</v>
      </c>
      <c r="H12" s="40" t="s">
        <v>474</v>
      </c>
      <c r="I12" s="37" t="s">
        <v>32</v>
      </c>
      <c r="J12" t="str">
        <f>VLOOKUP(F12,'[1]BASE DE DADOS'!$A:$C,3,0)</f>
        <v>DANILO GOMES DA SILVA</v>
      </c>
    </row>
    <row r="13" spans="1:10" x14ac:dyDescent="0.25">
      <c r="A13" s="40" t="s">
        <v>174</v>
      </c>
      <c r="B13" s="41">
        <v>999882018120466</v>
      </c>
      <c r="C13" s="40" t="s">
        <v>40</v>
      </c>
      <c r="D13" s="40" t="s">
        <v>10</v>
      </c>
      <c r="E13" s="40" t="s">
        <v>175</v>
      </c>
      <c r="F13" s="40" t="s">
        <v>18</v>
      </c>
      <c r="G13" s="40" t="s">
        <v>16</v>
      </c>
      <c r="H13" s="40" t="s">
        <v>221</v>
      </c>
      <c r="I13" s="37" t="s">
        <v>32</v>
      </c>
      <c r="J13" t="str">
        <f>VLOOKUP(F13,'[1]BASE DE DADOS'!$A:$C,3,0)</f>
        <v>DANILO GOMES DA SILVA</v>
      </c>
    </row>
    <row r="14" spans="1:10" x14ac:dyDescent="0.25">
      <c r="A14" s="40" t="s">
        <v>176</v>
      </c>
      <c r="B14" s="41">
        <v>999882018120466</v>
      </c>
      <c r="C14" s="40" t="s">
        <v>40</v>
      </c>
      <c r="D14" s="40" t="s">
        <v>10</v>
      </c>
      <c r="E14" s="40" t="s">
        <v>177</v>
      </c>
      <c r="F14" s="40" t="s">
        <v>18</v>
      </c>
      <c r="G14" s="40" t="s">
        <v>16</v>
      </c>
      <c r="H14" s="40" t="s">
        <v>221</v>
      </c>
      <c r="I14" s="37" t="s">
        <v>32</v>
      </c>
      <c r="J14" t="str">
        <f>VLOOKUP(F14,'[1]BASE DE DADOS'!$A:$C,3,0)</f>
        <v>DANILO GOMES DA SILVA</v>
      </c>
    </row>
    <row r="15" spans="1:10" x14ac:dyDescent="0.25">
      <c r="A15" s="40" t="s">
        <v>178</v>
      </c>
      <c r="B15" s="41">
        <v>999881998096949</v>
      </c>
      <c r="C15" s="40" t="s">
        <v>40</v>
      </c>
      <c r="D15" s="40" t="s">
        <v>10</v>
      </c>
      <c r="E15" s="40" t="s">
        <v>179</v>
      </c>
      <c r="F15" s="40" t="s">
        <v>30</v>
      </c>
      <c r="G15" s="40" t="s">
        <v>16</v>
      </c>
      <c r="H15" s="40" t="s">
        <v>475</v>
      </c>
      <c r="I15" s="37" t="s">
        <v>32</v>
      </c>
      <c r="J15" t="str">
        <f>VLOOKUP(F15,'[1]BASE DE DADOS'!$A:$C,3,0)</f>
        <v>DANILO GOMES DA SILVA</v>
      </c>
    </row>
    <row r="16" spans="1:10" x14ac:dyDescent="0.25">
      <c r="A16" s="40" t="s">
        <v>180</v>
      </c>
      <c r="B16" s="41">
        <v>999881996354501</v>
      </c>
      <c r="C16" s="40" t="s">
        <v>40</v>
      </c>
      <c r="D16" s="40" t="s">
        <v>10</v>
      </c>
      <c r="E16" s="40" t="s">
        <v>181</v>
      </c>
      <c r="F16" s="40" t="s">
        <v>24</v>
      </c>
      <c r="G16" s="40" t="s">
        <v>16</v>
      </c>
      <c r="H16" s="40">
        <v>0</v>
      </c>
      <c r="I16" s="37" t="s">
        <v>33</v>
      </c>
      <c r="J16" t="str">
        <f>VLOOKUP(F16,'[1]BASE DE DADOS'!$A:$C,3,0)</f>
        <v>THIAGO SANTOS SILVA</v>
      </c>
    </row>
    <row r="17" spans="1:10" x14ac:dyDescent="0.25">
      <c r="A17" s="40" t="s">
        <v>182</v>
      </c>
      <c r="B17" s="41">
        <v>999882040625158</v>
      </c>
      <c r="C17" s="40" t="s">
        <v>40</v>
      </c>
      <c r="D17" s="40" t="s">
        <v>10</v>
      </c>
      <c r="E17" s="40" t="s">
        <v>183</v>
      </c>
      <c r="F17" s="40" t="s">
        <v>15</v>
      </c>
      <c r="G17" s="40" t="s">
        <v>16</v>
      </c>
      <c r="H17" s="40">
        <v>0</v>
      </c>
      <c r="I17" s="37" t="s">
        <v>33</v>
      </c>
      <c r="J17" t="str">
        <f>VLOOKUP(F17,'[1]BASE DE DADOS'!$A:$C,3,0)</f>
        <v>DANILO GOMES DA SILVA</v>
      </c>
    </row>
    <row r="18" spans="1:10" x14ac:dyDescent="0.25">
      <c r="A18" s="40" t="s">
        <v>184</v>
      </c>
      <c r="B18" s="41">
        <v>999881995829580</v>
      </c>
      <c r="C18" s="40" t="s">
        <v>40</v>
      </c>
      <c r="D18" s="40" t="s">
        <v>10</v>
      </c>
      <c r="E18" s="40" t="s">
        <v>185</v>
      </c>
      <c r="F18" s="40" t="s">
        <v>103</v>
      </c>
      <c r="G18" s="40" t="s">
        <v>16</v>
      </c>
      <c r="H18" s="40" t="s">
        <v>476</v>
      </c>
      <c r="I18" s="37" t="s">
        <v>32</v>
      </c>
      <c r="J18" t="str">
        <f>VLOOKUP(F18,'[1]BASE DE DADOS'!$A:$C,3,0)</f>
        <v>DANILO GOMES DA SILVA</v>
      </c>
    </row>
    <row r="19" spans="1:10" x14ac:dyDescent="0.25">
      <c r="A19" s="40" t="s">
        <v>186</v>
      </c>
      <c r="B19" s="41">
        <v>999881992801413</v>
      </c>
      <c r="C19" s="40" t="s">
        <v>40</v>
      </c>
      <c r="D19" s="40" t="s">
        <v>10</v>
      </c>
      <c r="E19" s="40" t="s">
        <v>187</v>
      </c>
      <c r="F19" s="40" t="s">
        <v>39</v>
      </c>
      <c r="G19" s="40" t="s">
        <v>16</v>
      </c>
      <c r="H19" s="40" t="s">
        <v>477</v>
      </c>
      <c r="I19" s="37" t="s">
        <v>32</v>
      </c>
      <c r="J19" t="str">
        <f>VLOOKUP(F19,'[1]BASE DE DADOS'!$A:$C,3,0)</f>
        <v>DANILO GOMES DA SILVA</v>
      </c>
    </row>
    <row r="20" spans="1:10" x14ac:dyDescent="0.25">
      <c r="A20" s="40" t="s">
        <v>188</v>
      </c>
      <c r="B20" s="41">
        <v>999882037044685</v>
      </c>
      <c r="C20" s="40" t="s">
        <v>40</v>
      </c>
      <c r="D20" s="40" t="s">
        <v>10</v>
      </c>
      <c r="E20" s="40" t="s">
        <v>189</v>
      </c>
      <c r="F20" s="40" t="s">
        <v>22</v>
      </c>
      <c r="G20" s="40" t="s">
        <v>16</v>
      </c>
      <c r="H20" s="40" t="s">
        <v>222</v>
      </c>
      <c r="I20" s="37" t="s">
        <v>32</v>
      </c>
      <c r="J20" t="str">
        <f>VLOOKUP(F20,'[1]BASE DE DADOS'!$A:$C,3,0)</f>
        <v>DANILO GOMES DA SILVA</v>
      </c>
    </row>
    <row r="21" spans="1:10" x14ac:dyDescent="0.25">
      <c r="A21" s="40" t="s">
        <v>190</v>
      </c>
      <c r="B21" s="41">
        <v>999881988785009</v>
      </c>
      <c r="C21" s="40" t="s">
        <v>40</v>
      </c>
      <c r="D21" s="40" t="s">
        <v>10</v>
      </c>
      <c r="E21" s="40" t="s">
        <v>191</v>
      </c>
      <c r="F21" s="40" t="s">
        <v>30</v>
      </c>
      <c r="G21" s="40" t="s">
        <v>16</v>
      </c>
      <c r="H21" s="40" t="s">
        <v>223</v>
      </c>
      <c r="I21" s="37" t="s">
        <v>32</v>
      </c>
      <c r="J21" t="str">
        <f>VLOOKUP(F21,'[1]BASE DE DADOS'!$A:$C,3,0)</f>
        <v>DANILO GOMES DA SILVA</v>
      </c>
    </row>
    <row r="22" spans="1:10" x14ac:dyDescent="0.25">
      <c r="A22" s="40" t="s">
        <v>192</v>
      </c>
      <c r="B22" s="41">
        <v>999882031882568</v>
      </c>
      <c r="C22" s="40" t="s">
        <v>40</v>
      </c>
      <c r="D22" s="40" t="s">
        <v>10</v>
      </c>
      <c r="E22" s="40" t="s">
        <v>193</v>
      </c>
      <c r="F22" s="40" t="s">
        <v>73</v>
      </c>
      <c r="G22" s="40" t="s">
        <v>16</v>
      </c>
      <c r="H22" s="40" t="s">
        <v>224</v>
      </c>
      <c r="I22" s="37" t="s">
        <v>32</v>
      </c>
      <c r="J22" t="str">
        <f>VLOOKUP(F22,'[1]BASE DE DADOS'!$A:$C,3,0)</f>
        <v>DANILO GOMES DA SILVA</v>
      </c>
    </row>
    <row r="23" spans="1:10" x14ac:dyDescent="0.25">
      <c r="A23" s="40" t="s">
        <v>194</v>
      </c>
      <c r="B23" s="41">
        <v>999881995199640</v>
      </c>
      <c r="C23" s="40" t="s">
        <v>40</v>
      </c>
      <c r="D23" s="40" t="s">
        <v>10</v>
      </c>
      <c r="E23" s="40" t="s">
        <v>195</v>
      </c>
      <c r="F23" s="40" t="s">
        <v>24</v>
      </c>
      <c r="G23" s="40" t="s">
        <v>16</v>
      </c>
      <c r="H23" s="40">
        <v>0</v>
      </c>
      <c r="I23" s="37" t="s">
        <v>33</v>
      </c>
      <c r="J23" t="str">
        <f>VLOOKUP(F23,'[1]BASE DE DADOS'!$A:$C,3,0)</f>
        <v>THIAGO SANTOS SILVA</v>
      </c>
    </row>
    <row r="24" spans="1:10" x14ac:dyDescent="0.25">
      <c r="A24" s="40" t="s">
        <v>196</v>
      </c>
      <c r="B24" s="41">
        <v>999881979864531</v>
      </c>
      <c r="C24" s="40" t="s">
        <v>40</v>
      </c>
      <c r="D24" s="40" t="s">
        <v>10</v>
      </c>
      <c r="E24" s="40" t="s">
        <v>197</v>
      </c>
      <c r="F24" s="40" t="s">
        <v>20</v>
      </c>
      <c r="G24" s="40" t="s">
        <v>16</v>
      </c>
      <c r="H24" s="40" t="s">
        <v>225</v>
      </c>
      <c r="I24" s="37" t="s">
        <v>32</v>
      </c>
      <c r="J24" t="str">
        <f>VLOOKUP(F24,'[1]BASE DE DADOS'!$A:$C,3,0)</f>
        <v>THIAGO SANTOS SILVA</v>
      </c>
    </row>
    <row r="25" spans="1:10" x14ac:dyDescent="0.25">
      <c r="A25" s="40" t="s">
        <v>198</v>
      </c>
      <c r="B25" s="41">
        <v>999882016156268</v>
      </c>
      <c r="C25" s="40" t="s">
        <v>40</v>
      </c>
      <c r="D25" s="40" t="s">
        <v>10</v>
      </c>
      <c r="E25" s="40" t="s">
        <v>199</v>
      </c>
      <c r="F25" s="40" t="s">
        <v>29</v>
      </c>
      <c r="G25" s="40" t="s">
        <v>16</v>
      </c>
      <c r="H25" s="40" t="s">
        <v>226</v>
      </c>
      <c r="I25" s="37" t="s">
        <v>32</v>
      </c>
      <c r="J25" t="str">
        <f>VLOOKUP(F25,'[1]BASE DE DADOS'!$A:$C,3,0)</f>
        <v>DANILO GOMES DA SILVA</v>
      </c>
    </row>
    <row r="26" spans="1:10" x14ac:dyDescent="0.25">
      <c r="A26" s="40" t="s">
        <v>200</v>
      </c>
      <c r="B26" s="41">
        <v>999882025285706</v>
      </c>
      <c r="C26" s="40" t="s">
        <v>40</v>
      </c>
      <c r="D26" s="40" t="s">
        <v>10</v>
      </c>
      <c r="E26" s="40" t="s">
        <v>201</v>
      </c>
      <c r="F26" s="40" t="s">
        <v>44</v>
      </c>
      <c r="G26" s="40" t="s">
        <v>16</v>
      </c>
      <c r="H26" s="40" t="s">
        <v>478</v>
      </c>
      <c r="I26" s="37" t="s">
        <v>32</v>
      </c>
      <c r="J26" t="str">
        <f>VLOOKUP(F26,'[1]BASE DE DADOS'!$A:$C,3,0)</f>
        <v>THIAGO SANTOS SILVA</v>
      </c>
    </row>
    <row r="27" spans="1:10" x14ac:dyDescent="0.25">
      <c r="A27" s="40" t="s">
        <v>202</v>
      </c>
      <c r="B27" s="41">
        <v>999882033211525</v>
      </c>
      <c r="C27" s="40" t="s">
        <v>40</v>
      </c>
      <c r="D27" s="40" t="s">
        <v>10</v>
      </c>
      <c r="E27" s="40" t="s">
        <v>203</v>
      </c>
      <c r="F27" s="40" t="s">
        <v>22</v>
      </c>
      <c r="G27" s="40" t="s">
        <v>16</v>
      </c>
      <c r="H27" s="40">
        <v>0</v>
      </c>
      <c r="I27" s="37" t="s">
        <v>33</v>
      </c>
      <c r="J27" t="str">
        <f>VLOOKUP(F27,'[1]BASE DE DADOS'!$A:$C,3,0)</f>
        <v>DANILO GOMES DA SILVA</v>
      </c>
    </row>
    <row r="28" spans="1:10" x14ac:dyDescent="0.25">
      <c r="A28" s="40" t="s">
        <v>204</v>
      </c>
      <c r="B28" s="41">
        <v>999882045956628</v>
      </c>
      <c r="C28" s="40" t="s">
        <v>40</v>
      </c>
      <c r="D28" s="40" t="s">
        <v>10</v>
      </c>
      <c r="E28" s="40" t="s">
        <v>205</v>
      </c>
      <c r="F28" s="40" t="s">
        <v>109</v>
      </c>
      <c r="G28" s="40" t="s">
        <v>16</v>
      </c>
      <c r="H28" s="40" t="s">
        <v>227</v>
      </c>
      <c r="I28" s="37" t="s">
        <v>32</v>
      </c>
      <c r="J28" t="str">
        <f>VLOOKUP(F28,'[1]BASE DE DADOS'!$A:$C,3,0)</f>
        <v>DANILO GOMES DA SILVA</v>
      </c>
    </row>
    <row r="29" spans="1:10" x14ac:dyDescent="0.25">
      <c r="A29" s="40" t="s">
        <v>206</v>
      </c>
      <c r="B29" s="41">
        <v>999882036567477</v>
      </c>
      <c r="C29" s="40" t="s">
        <v>40</v>
      </c>
      <c r="D29" s="40" t="s">
        <v>10</v>
      </c>
      <c r="E29" s="40" t="s">
        <v>207</v>
      </c>
      <c r="F29" s="40" t="s">
        <v>46</v>
      </c>
      <c r="G29" s="40" t="s">
        <v>16</v>
      </c>
      <c r="H29" s="40" t="s">
        <v>228</v>
      </c>
      <c r="I29" s="37" t="s">
        <v>32</v>
      </c>
      <c r="J29" t="str">
        <f>VLOOKUP(F29,'[1]BASE DE DADOS'!$A:$C,3,0)</f>
        <v>DANILO GOMES DA SILVA</v>
      </c>
    </row>
    <row r="30" spans="1:10" x14ac:dyDescent="0.25">
      <c r="A30" s="40" t="s">
        <v>208</v>
      </c>
      <c r="B30" s="41">
        <v>999881992256868</v>
      </c>
      <c r="C30" s="40" t="s">
        <v>41</v>
      </c>
      <c r="D30" s="40" t="s">
        <v>10</v>
      </c>
      <c r="E30" s="40" t="s">
        <v>209</v>
      </c>
      <c r="F30" s="40" t="s">
        <v>37</v>
      </c>
      <c r="G30" s="40" t="s">
        <v>16</v>
      </c>
      <c r="H30" s="40">
        <v>0</v>
      </c>
      <c r="I30" s="37" t="s">
        <v>33</v>
      </c>
      <c r="J30" t="str">
        <f>VLOOKUP(F30,'[1]BASE DE DADOS'!$A:$C,3,0)</f>
        <v>DANILO GOMES DA SILVA</v>
      </c>
    </row>
    <row r="31" spans="1:10" x14ac:dyDescent="0.25">
      <c r="A31" s="40" t="s">
        <v>210</v>
      </c>
      <c r="B31" s="41">
        <v>999881961927399</v>
      </c>
      <c r="C31" s="40" t="s">
        <v>40</v>
      </c>
      <c r="D31" s="40" t="s">
        <v>10</v>
      </c>
      <c r="E31" s="40" t="s">
        <v>211</v>
      </c>
      <c r="F31" s="40" t="s">
        <v>103</v>
      </c>
      <c r="G31" s="40" t="s">
        <v>16</v>
      </c>
      <c r="H31" s="40" t="s">
        <v>479</v>
      </c>
      <c r="I31" s="37" t="s">
        <v>32</v>
      </c>
      <c r="J31" t="str">
        <f>VLOOKUP(F31,'[1]BASE DE DADOS'!$A:$C,3,0)</f>
        <v>DANILO GOMES DA SILVA</v>
      </c>
    </row>
    <row r="32" spans="1:10" x14ac:dyDescent="0.25">
      <c r="A32" s="40" t="s">
        <v>212</v>
      </c>
      <c r="B32" s="41">
        <v>999881911512043</v>
      </c>
      <c r="C32" s="40" t="s">
        <v>40</v>
      </c>
      <c r="D32" s="40" t="s">
        <v>10</v>
      </c>
      <c r="E32" s="40" t="s">
        <v>213</v>
      </c>
      <c r="F32" s="40" t="s">
        <v>24</v>
      </c>
      <c r="G32" s="40" t="s">
        <v>16</v>
      </c>
      <c r="H32" s="40">
        <v>0</v>
      </c>
      <c r="I32" s="37" t="s">
        <v>33</v>
      </c>
      <c r="J32" t="str">
        <f>VLOOKUP(F32,'[1]BASE DE DADOS'!$A:$C,3,0)</f>
        <v>THIAGO SANTOS SILVA</v>
      </c>
    </row>
    <row r="33" spans="1:10" x14ac:dyDescent="0.25">
      <c r="A33" s="40" t="s">
        <v>214</v>
      </c>
      <c r="B33" s="41">
        <v>999881968421395</v>
      </c>
      <c r="C33" s="40" t="s">
        <v>40</v>
      </c>
      <c r="D33" s="40" t="s">
        <v>10</v>
      </c>
      <c r="E33" s="40" t="s">
        <v>215</v>
      </c>
      <c r="F33" s="40" t="s">
        <v>29</v>
      </c>
      <c r="G33" s="40" t="s">
        <v>16</v>
      </c>
      <c r="H33" s="40" t="s">
        <v>229</v>
      </c>
      <c r="I33" s="37" t="s">
        <v>32</v>
      </c>
      <c r="J33" t="str">
        <f>VLOOKUP(F33,'[1]BASE DE DADOS'!$A:$C,3,0)</f>
        <v>DANILO GOMES DA SILVA</v>
      </c>
    </row>
    <row r="34" spans="1:10" x14ac:dyDescent="0.25">
      <c r="A34" s="40" t="s">
        <v>216</v>
      </c>
      <c r="B34" s="41">
        <v>999881992204107</v>
      </c>
      <c r="C34" s="40" t="s">
        <v>40</v>
      </c>
      <c r="D34" s="40" t="s">
        <v>10</v>
      </c>
      <c r="E34" s="40" t="s">
        <v>217</v>
      </c>
      <c r="F34" s="40" t="s">
        <v>47</v>
      </c>
      <c r="G34" s="40" t="s">
        <v>16</v>
      </c>
      <c r="H34" s="40" t="s">
        <v>480</v>
      </c>
      <c r="I34" s="37" t="s">
        <v>32</v>
      </c>
      <c r="J34" t="str">
        <f>VLOOKUP(F34,'[1]BASE DE DADOS'!$A:$C,3,0)</f>
        <v>DANILO GOMES DA SILVA</v>
      </c>
    </row>
    <row r="35" spans="1:10" x14ac:dyDescent="0.25">
      <c r="A35" s="40" t="s">
        <v>230</v>
      </c>
      <c r="B35" s="41">
        <v>999882023838380</v>
      </c>
      <c r="C35" s="40" t="s">
        <v>40</v>
      </c>
      <c r="D35" s="40" t="s">
        <v>10</v>
      </c>
      <c r="E35" s="40" t="s">
        <v>231</v>
      </c>
      <c r="F35" s="40" t="s">
        <v>100</v>
      </c>
      <c r="G35" s="40" t="s">
        <v>16</v>
      </c>
      <c r="H35" s="40" t="s">
        <v>481</v>
      </c>
      <c r="I35" s="37" t="s">
        <v>32</v>
      </c>
      <c r="J35" t="str">
        <f>VLOOKUP(F35,'[1]BASE DE DADOS'!$A:$C,3,0)</f>
        <v>THIAGO SANTOS SILVA</v>
      </c>
    </row>
    <row r="36" spans="1:10" x14ac:dyDescent="0.25">
      <c r="A36" s="40" t="s">
        <v>232</v>
      </c>
      <c r="B36" s="41">
        <v>999881948436729</v>
      </c>
      <c r="C36" s="40" t="s">
        <v>40</v>
      </c>
      <c r="D36" s="40" t="s">
        <v>10</v>
      </c>
      <c r="E36" s="40" t="s">
        <v>233</v>
      </c>
      <c r="F36" s="40" t="s">
        <v>17</v>
      </c>
      <c r="G36" s="40" t="s">
        <v>16</v>
      </c>
      <c r="H36" s="40" t="s">
        <v>482</v>
      </c>
      <c r="I36" s="37" t="s">
        <v>32</v>
      </c>
      <c r="J36" t="str">
        <f>VLOOKUP(F36,'[1]BASE DE DADOS'!$A:$C,3,0)</f>
        <v>DANILO GOMES DA SILVA</v>
      </c>
    </row>
    <row r="37" spans="1:10" x14ac:dyDescent="0.25">
      <c r="A37" s="40" t="s">
        <v>234</v>
      </c>
      <c r="B37" s="41">
        <v>999881974144161</v>
      </c>
      <c r="C37" s="40" t="s">
        <v>40</v>
      </c>
      <c r="D37" s="40" t="s">
        <v>10</v>
      </c>
      <c r="E37" s="40" t="s">
        <v>235</v>
      </c>
      <c r="F37" s="40" t="s">
        <v>95</v>
      </c>
      <c r="G37" s="40" t="s">
        <v>16</v>
      </c>
      <c r="H37" s="40" t="s">
        <v>483</v>
      </c>
      <c r="I37" s="37" t="s">
        <v>32</v>
      </c>
      <c r="J37" t="str">
        <f>VLOOKUP(F37,'[1]BASE DE DADOS'!$A:$C,3,0)</f>
        <v>DANILO GOMES DA SILVA</v>
      </c>
    </row>
    <row r="38" spans="1:10" x14ac:dyDescent="0.25">
      <c r="A38" s="40" t="s">
        <v>236</v>
      </c>
      <c r="B38" s="41">
        <v>999881998533227</v>
      </c>
      <c r="C38" s="40" t="s">
        <v>40</v>
      </c>
      <c r="D38" s="40" t="s">
        <v>10</v>
      </c>
      <c r="E38" s="40" t="s">
        <v>237</v>
      </c>
      <c r="F38" s="40" t="s">
        <v>39</v>
      </c>
      <c r="G38" s="40" t="s">
        <v>16</v>
      </c>
      <c r="H38" s="40" t="s">
        <v>238</v>
      </c>
      <c r="I38" s="37" t="s">
        <v>32</v>
      </c>
      <c r="J38" t="str">
        <f>VLOOKUP(F38,'[1]BASE DE DADOS'!$A:$C,3,0)</f>
        <v>DANILO GOMES DA SILVA</v>
      </c>
    </row>
    <row r="39" spans="1:10" x14ac:dyDescent="0.25">
      <c r="A39" s="40" t="s">
        <v>239</v>
      </c>
      <c r="B39" s="41">
        <v>999882036498472</v>
      </c>
      <c r="C39" s="40" t="s">
        <v>40</v>
      </c>
      <c r="D39" s="40" t="s">
        <v>10</v>
      </c>
      <c r="E39" s="40" t="s">
        <v>240</v>
      </c>
      <c r="F39" s="40" t="s">
        <v>23</v>
      </c>
      <c r="G39" s="40" t="s">
        <v>16</v>
      </c>
      <c r="H39" s="40" t="s">
        <v>484</v>
      </c>
      <c r="I39" s="37" t="s">
        <v>32</v>
      </c>
      <c r="J39" t="str">
        <f>VLOOKUP(F39,'[1]BASE DE DADOS'!$A:$C,3,0)</f>
        <v>DANILO GOMES DA SILVA</v>
      </c>
    </row>
    <row r="40" spans="1:10" x14ac:dyDescent="0.25">
      <c r="A40" s="40" t="s">
        <v>241</v>
      </c>
      <c r="B40" s="41">
        <v>999882004246447</v>
      </c>
      <c r="C40" s="40" t="s">
        <v>40</v>
      </c>
      <c r="D40" s="40" t="s">
        <v>10</v>
      </c>
      <c r="E40" s="40" t="s">
        <v>242</v>
      </c>
      <c r="F40" s="40" t="s">
        <v>69</v>
      </c>
      <c r="G40" s="40" t="s">
        <v>16</v>
      </c>
      <c r="H40" s="40">
        <v>0</v>
      </c>
      <c r="I40" s="37" t="s">
        <v>33</v>
      </c>
      <c r="J40" t="str">
        <f>VLOOKUP(F40,'[1]BASE DE DADOS'!$A:$C,3,0)</f>
        <v>THIAGO SANTOS SILVA</v>
      </c>
    </row>
    <row r="41" spans="1:10" x14ac:dyDescent="0.25">
      <c r="A41" s="40" t="s">
        <v>243</v>
      </c>
      <c r="B41" s="41">
        <v>999882003387435</v>
      </c>
      <c r="C41" s="40" t="s">
        <v>40</v>
      </c>
      <c r="D41" s="40" t="s">
        <v>10</v>
      </c>
      <c r="E41" s="40" t="s">
        <v>244</v>
      </c>
      <c r="F41" s="40" t="s">
        <v>38</v>
      </c>
      <c r="G41" s="40" t="s">
        <v>16</v>
      </c>
      <c r="H41" s="40">
        <v>0</v>
      </c>
      <c r="I41" s="37" t="s">
        <v>33</v>
      </c>
      <c r="J41" t="str">
        <f>VLOOKUP(F41,'[1]BASE DE DADOS'!$A:$C,3,0)</f>
        <v>THIAGO SANTOS SILVA</v>
      </c>
    </row>
    <row r="42" spans="1:10" x14ac:dyDescent="0.25">
      <c r="A42" s="40" t="s">
        <v>245</v>
      </c>
      <c r="B42" s="41">
        <v>999881970497597</v>
      </c>
      <c r="C42" s="40" t="s">
        <v>40</v>
      </c>
      <c r="D42" s="40" t="s">
        <v>10</v>
      </c>
      <c r="E42" s="40" t="s">
        <v>238</v>
      </c>
      <c r="F42" s="40" t="s">
        <v>92</v>
      </c>
      <c r="G42" s="40" t="s">
        <v>16</v>
      </c>
      <c r="H42" s="40" t="s">
        <v>485</v>
      </c>
      <c r="I42" s="37" t="s">
        <v>32</v>
      </c>
      <c r="J42" t="str">
        <f>VLOOKUP(F42,'[1]BASE DE DADOS'!$A:$C,3,0)</f>
        <v>THIAGO SANTOS SILVA</v>
      </c>
    </row>
    <row r="43" spans="1:10" x14ac:dyDescent="0.25">
      <c r="A43" s="40" t="s">
        <v>246</v>
      </c>
      <c r="B43" s="41">
        <v>999882016954345</v>
      </c>
      <c r="C43" s="40" t="s">
        <v>40</v>
      </c>
      <c r="D43" s="40" t="s">
        <v>10</v>
      </c>
      <c r="E43" s="40" t="s">
        <v>247</v>
      </c>
      <c r="F43" s="40" t="s">
        <v>61</v>
      </c>
      <c r="G43" s="40" t="s">
        <v>16</v>
      </c>
      <c r="H43" s="40" t="s">
        <v>486</v>
      </c>
      <c r="I43" s="37" t="s">
        <v>32</v>
      </c>
      <c r="J43" t="str">
        <f>VLOOKUP(F43,'[1]BASE DE DADOS'!$A:$C,3,0)</f>
        <v>THIAGO SANTOS SILVA</v>
      </c>
    </row>
    <row r="44" spans="1:10" x14ac:dyDescent="0.25">
      <c r="A44" s="40" t="s">
        <v>248</v>
      </c>
      <c r="B44" s="41">
        <v>999881985036628</v>
      </c>
      <c r="C44" s="40" t="s">
        <v>40</v>
      </c>
      <c r="D44" s="40" t="s">
        <v>10</v>
      </c>
      <c r="E44" s="40" t="s">
        <v>249</v>
      </c>
      <c r="F44" s="40" t="s">
        <v>95</v>
      </c>
      <c r="G44" s="40" t="s">
        <v>16</v>
      </c>
      <c r="H44" s="40" t="s">
        <v>487</v>
      </c>
      <c r="I44" s="37" t="s">
        <v>32</v>
      </c>
      <c r="J44" t="str">
        <f>VLOOKUP(F44,'[1]BASE DE DADOS'!$A:$C,3,0)</f>
        <v>DANILO GOMES DA SILVA</v>
      </c>
    </row>
    <row r="45" spans="1:10" x14ac:dyDescent="0.25">
      <c r="A45" s="40" t="s">
        <v>250</v>
      </c>
      <c r="B45" s="41">
        <v>999882009036025</v>
      </c>
      <c r="C45" s="40" t="s">
        <v>40</v>
      </c>
      <c r="D45" s="40" t="s">
        <v>10</v>
      </c>
      <c r="E45" s="40" t="s">
        <v>251</v>
      </c>
      <c r="F45" s="40" t="s">
        <v>44</v>
      </c>
      <c r="G45" s="40" t="s">
        <v>16</v>
      </c>
      <c r="H45" s="40">
        <v>0</v>
      </c>
      <c r="I45" s="37" t="s">
        <v>33</v>
      </c>
      <c r="J45" t="str">
        <f>VLOOKUP(F45,'[1]BASE DE DADOS'!$A:$C,3,0)</f>
        <v>THIAGO SANTOS SILVA</v>
      </c>
    </row>
    <row r="46" spans="1:10" x14ac:dyDescent="0.25">
      <c r="A46" s="40" t="s">
        <v>252</v>
      </c>
      <c r="B46" s="41">
        <v>999881943227091</v>
      </c>
      <c r="C46" s="40" t="s">
        <v>40</v>
      </c>
      <c r="D46" s="40" t="s">
        <v>10</v>
      </c>
      <c r="E46" s="40" t="s">
        <v>253</v>
      </c>
      <c r="F46" s="40" t="s">
        <v>20</v>
      </c>
      <c r="G46" s="40" t="s">
        <v>16</v>
      </c>
      <c r="H46" s="40" t="s">
        <v>488</v>
      </c>
      <c r="I46" s="37" t="s">
        <v>32</v>
      </c>
      <c r="J46" t="str">
        <f>VLOOKUP(F46,'[1]BASE DE DADOS'!$A:$C,3,0)</f>
        <v>THIAGO SANTOS SILVA</v>
      </c>
    </row>
    <row r="47" spans="1:10" x14ac:dyDescent="0.25">
      <c r="A47" s="40" t="s">
        <v>254</v>
      </c>
      <c r="B47" s="41">
        <v>999882006490953</v>
      </c>
      <c r="C47" s="40" t="s">
        <v>40</v>
      </c>
      <c r="D47" s="40" t="s">
        <v>10</v>
      </c>
      <c r="E47" s="40" t="s">
        <v>255</v>
      </c>
      <c r="F47" s="40" t="s">
        <v>34</v>
      </c>
      <c r="G47" s="40" t="s">
        <v>16</v>
      </c>
      <c r="H47" s="40">
        <v>0</v>
      </c>
      <c r="I47" s="37" t="s">
        <v>33</v>
      </c>
      <c r="J47" t="str">
        <f>VLOOKUP(F47,'[1]BASE DE DADOS'!$A:$C,3,0)</f>
        <v>DANILO GOMES DA SILVA</v>
      </c>
    </row>
    <row r="48" spans="1:10" x14ac:dyDescent="0.25">
      <c r="A48" s="40" t="s">
        <v>256</v>
      </c>
      <c r="B48" s="41">
        <v>999882020716007</v>
      </c>
      <c r="C48" s="40" t="s">
        <v>40</v>
      </c>
      <c r="D48" s="40" t="s">
        <v>10</v>
      </c>
      <c r="E48" s="40" t="s">
        <v>257</v>
      </c>
      <c r="F48" s="40" t="s">
        <v>73</v>
      </c>
      <c r="G48" s="40" t="s">
        <v>16</v>
      </c>
      <c r="H48" s="40" t="s">
        <v>258</v>
      </c>
      <c r="I48" s="37" t="s">
        <v>32</v>
      </c>
      <c r="J48" t="str">
        <f>VLOOKUP(F48,'[1]BASE DE DADOS'!$A:$C,3,0)</f>
        <v>DANILO GOMES DA SILVA</v>
      </c>
    </row>
    <row r="49" spans="1:10" x14ac:dyDescent="0.25">
      <c r="A49" s="40" t="s">
        <v>259</v>
      </c>
      <c r="B49" s="41">
        <v>999882011459929</v>
      </c>
      <c r="C49" s="40" t="s">
        <v>41</v>
      </c>
      <c r="D49" s="40" t="s">
        <v>10</v>
      </c>
      <c r="E49" s="40" t="s">
        <v>260</v>
      </c>
      <c r="F49" s="40" t="s">
        <v>38</v>
      </c>
      <c r="G49" s="40" t="s">
        <v>16</v>
      </c>
      <c r="H49" s="40">
        <v>0</v>
      </c>
      <c r="I49" s="37" t="s">
        <v>33</v>
      </c>
      <c r="J49" t="str">
        <f>VLOOKUP(F49,'[1]BASE DE DADOS'!$A:$C,3,0)</f>
        <v>THIAGO SANTOS SILVA</v>
      </c>
    </row>
    <row r="50" spans="1:10" x14ac:dyDescent="0.25">
      <c r="A50" s="40" t="s">
        <v>261</v>
      </c>
      <c r="B50" s="41">
        <v>999882026171306</v>
      </c>
      <c r="C50" s="40" t="s">
        <v>40</v>
      </c>
      <c r="D50" s="40" t="s">
        <v>10</v>
      </c>
      <c r="E50" s="40" t="s">
        <v>262</v>
      </c>
      <c r="F50" s="40" t="s">
        <v>34</v>
      </c>
      <c r="G50" s="40" t="s">
        <v>16</v>
      </c>
      <c r="H50" s="40" t="s">
        <v>489</v>
      </c>
      <c r="I50" s="37" t="s">
        <v>32</v>
      </c>
      <c r="J50" t="str">
        <f>VLOOKUP(F50,'[1]BASE DE DADOS'!$A:$C,3,0)</f>
        <v>DANILO GOMES DA SILVA</v>
      </c>
    </row>
    <row r="51" spans="1:10" x14ac:dyDescent="0.25">
      <c r="A51" s="40" t="s">
        <v>263</v>
      </c>
      <c r="B51" s="41">
        <v>999881961884985</v>
      </c>
      <c r="C51" s="40" t="s">
        <v>40</v>
      </c>
      <c r="D51" s="40" t="s">
        <v>10</v>
      </c>
      <c r="E51" s="40" t="s">
        <v>264</v>
      </c>
      <c r="F51" s="40" t="s">
        <v>25</v>
      </c>
      <c r="G51" s="40" t="s">
        <v>16</v>
      </c>
      <c r="H51" s="40" t="s">
        <v>490</v>
      </c>
      <c r="I51" s="37" t="s">
        <v>32</v>
      </c>
      <c r="J51" t="str">
        <f>VLOOKUP(F51,'[1]BASE DE DADOS'!$A:$C,3,0)</f>
        <v>THIAGO SANTOS SILVA</v>
      </c>
    </row>
    <row r="52" spans="1:10" x14ac:dyDescent="0.25">
      <c r="A52" s="40" t="s">
        <v>265</v>
      </c>
      <c r="B52" s="41">
        <v>999881991555955</v>
      </c>
      <c r="C52" s="40" t="s">
        <v>40</v>
      </c>
      <c r="D52" s="40" t="s">
        <v>10</v>
      </c>
      <c r="E52" s="40" t="s">
        <v>266</v>
      </c>
      <c r="F52" s="40" t="s">
        <v>18</v>
      </c>
      <c r="G52" s="40" t="s">
        <v>16</v>
      </c>
      <c r="H52" s="40" t="s">
        <v>491</v>
      </c>
      <c r="I52" s="37" t="s">
        <v>32</v>
      </c>
      <c r="J52" t="str">
        <f>VLOOKUP(F52,'[1]BASE DE DADOS'!$A:$C,3,0)</f>
        <v>DANILO GOMES DA SILVA</v>
      </c>
    </row>
    <row r="53" spans="1:10" x14ac:dyDescent="0.25">
      <c r="A53" s="40" t="s">
        <v>267</v>
      </c>
      <c r="B53" s="41">
        <v>999882007443296</v>
      </c>
      <c r="C53" s="40" t="s">
        <v>41</v>
      </c>
      <c r="D53" s="40" t="s">
        <v>10</v>
      </c>
      <c r="E53" s="40" t="s">
        <v>268</v>
      </c>
      <c r="F53" s="40" t="s">
        <v>29</v>
      </c>
      <c r="G53" s="40" t="s">
        <v>16</v>
      </c>
      <c r="H53" s="40">
        <v>0</v>
      </c>
      <c r="I53" s="37" t="s">
        <v>33</v>
      </c>
      <c r="J53" t="str">
        <f>VLOOKUP(F53,'[1]BASE DE DADOS'!$A:$C,3,0)</f>
        <v>DANILO GOMES DA SILVA</v>
      </c>
    </row>
    <row r="54" spans="1:10" x14ac:dyDescent="0.25">
      <c r="A54" s="40" t="s">
        <v>269</v>
      </c>
      <c r="B54" s="41">
        <v>999882005396685</v>
      </c>
      <c r="C54" s="40" t="s">
        <v>40</v>
      </c>
      <c r="D54" s="40" t="s">
        <v>10</v>
      </c>
      <c r="E54" s="40" t="s">
        <v>270</v>
      </c>
      <c r="F54" s="40" t="s">
        <v>36</v>
      </c>
      <c r="G54" s="40" t="s">
        <v>16</v>
      </c>
      <c r="H54" s="40">
        <v>0</v>
      </c>
      <c r="I54" s="37" t="s">
        <v>33</v>
      </c>
      <c r="J54" t="str">
        <f>VLOOKUP(F54,'[1]BASE DE DADOS'!$A:$C,3,0)</f>
        <v>DANILO GOMES DA SILVA</v>
      </c>
    </row>
    <row r="55" spans="1:10" x14ac:dyDescent="0.25">
      <c r="A55" s="40" t="s">
        <v>271</v>
      </c>
      <c r="B55" s="41">
        <v>999882000477129</v>
      </c>
      <c r="C55" s="40" t="s">
        <v>40</v>
      </c>
      <c r="D55" s="40" t="s">
        <v>10</v>
      </c>
      <c r="E55" s="40" t="s">
        <v>272</v>
      </c>
      <c r="F55" s="40" t="s">
        <v>23</v>
      </c>
      <c r="G55" s="40" t="s">
        <v>16</v>
      </c>
      <c r="H55" s="40" t="s">
        <v>492</v>
      </c>
      <c r="I55" s="37" t="s">
        <v>32</v>
      </c>
      <c r="J55" t="str">
        <f>VLOOKUP(F55,'[1]BASE DE DADOS'!$A:$C,3,0)</f>
        <v>DANILO GOMES DA SILVA</v>
      </c>
    </row>
    <row r="56" spans="1:10" x14ac:dyDescent="0.25">
      <c r="A56" s="40" t="s">
        <v>273</v>
      </c>
      <c r="B56" s="41">
        <v>999881943542516</v>
      </c>
      <c r="C56" s="40" t="s">
        <v>40</v>
      </c>
      <c r="D56" s="40" t="s">
        <v>10</v>
      </c>
      <c r="E56" s="40" t="s">
        <v>274</v>
      </c>
      <c r="F56" s="40" t="s">
        <v>118</v>
      </c>
      <c r="G56" s="40" t="s">
        <v>16</v>
      </c>
      <c r="H56" s="40" t="s">
        <v>493</v>
      </c>
      <c r="I56" s="37" t="s">
        <v>32</v>
      </c>
      <c r="J56" t="str">
        <f>VLOOKUP(F56,'[1]BASE DE DADOS'!$A:$C,3,0)</f>
        <v>DANILO GOMES DA SILVA</v>
      </c>
    </row>
    <row r="57" spans="1:10" x14ac:dyDescent="0.25">
      <c r="A57" s="40" t="s">
        <v>275</v>
      </c>
      <c r="B57" s="41">
        <v>999882047075544</v>
      </c>
      <c r="C57" s="40" t="s">
        <v>41</v>
      </c>
      <c r="D57" s="40" t="s">
        <v>10</v>
      </c>
      <c r="E57" s="40" t="s">
        <v>276</v>
      </c>
      <c r="F57" s="40" t="s">
        <v>22</v>
      </c>
      <c r="G57" s="40" t="s">
        <v>16</v>
      </c>
      <c r="H57" s="40" t="s">
        <v>896</v>
      </c>
      <c r="I57" s="37" t="s">
        <v>32</v>
      </c>
      <c r="J57" t="str">
        <f>VLOOKUP(F57,'[1]BASE DE DADOS'!$A:$C,3,0)</f>
        <v>DANILO GOMES DA SILVA</v>
      </c>
    </row>
    <row r="58" spans="1:10" x14ac:dyDescent="0.25">
      <c r="A58" s="40" t="s">
        <v>277</v>
      </c>
      <c r="B58" s="41">
        <v>999881983936915</v>
      </c>
      <c r="C58" s="40" t="s">
        <v>40</v>
      </c>
      <c r="D58" s="40" t="s">
        <v>10</v>
      </c>
      <c r="E58" s="40" t="s">
        <v>278</v>
      </c>
      <c r="F58" s="40" t="s">
        <v>94</v>
      </c>
      <c r="G58" s="40" t="s">
        <v>16</v>
      </c>
      <c r="H58" s="40" t="s">
        <v>494</v>
      </c>
      <c r="I58" s="37" t="s">
        <v>32</v>
      </c>
      <c r="J58" t="str">
        <f>VLOOKUP(F58,'[1]BASE DE DADOS'!$A:$C,3,0)</f>
        <v>THIAGO SANTOS SILVA</v>
      </c>
    </row>
    <row r="59" spans="1:10" x14ac:dyDescent="0.25">
      <c r="A59" s="40" t="s">
        <v>279</v>
      </c>
      <c r="B59" s="41">
        <v>999882010874475</v>
      </c>
      <c r="C59" s="40" t="s">
        <v>40</v>
      </c>
      <c r="D59" s="40" t="s">
        <v>10</v>
      </c>
      <c r="E59" s="40" t="s">
        <v>280</v>
      </c>
      <c r="F59" s="40" t="s">
        <v>80</v>
      </c>
      <c r="G59" s="40" t="s">
        <v>16</v>
      </c>
      <c r="H59" s="40" t="s">
        <v>495</v>
      </c>
      <c r="I59" s="37" t="s">
        <v>32</v>
      </c>
      <c r="J59" t="str">
        <f>VLOOKUP(F59,'[1]BASE DE DADOS'!$A:$C,3,0)</f>
        <v>THIAGO SANTOS SILVA</v>
      </c>
    </row>
    <row r="60" spans="1:10" x14ac:dyDescent="0.25">
      <c r="A60" s="40" t="s">
        <v>281</v>
      </c>
      <c r="B60" s="41">
        <v>999881956520940</v>
      </c>
      <c r="C60" s="40" t="s">
        <v>40</v>
      </c>
      <c r="D60" s="40" t="s">
        <v>10</v>
      </c>
      <c r="E60" s="40" t="s">
        <v>282</v>
      </c>
      <c r="F60" s="40" t="s">
        <v>30</v>
      </c>
      <c r="G60" s="40" t="s">
        <v>16</v>
      </c>
      <c r="H60" s="40" t="s">
        <v>496</v>
      </c>
      <c r="I60" s="37" t="s">
        <v>32</v>
      </c>
      <c r="J60" t="str">
        <f>VLOOKUP(F60,'[1]BASE DE DADOS'!$A:$C,3,0)</f>
        <v>DANILO GOMES DA SILVA</v>
      </c>
    </row>
    <row r="61" spans="1:10" x14ac:dyDescent="0.25">
      <c r="A61" s="40" t="s">
        <v>283</v>
      </c>
      <c r="B61" s="41">
        <v>999882045216961</v>
      </c>
      <c r="C61" s="40" t="s">
        <v>40</v>
      </c>
      <c r="D61" s="40" t="s">
        <v>10</v>
      </c>
      <c r="E61" s="40" t="s">
        <v>284</v>
      </c>
      <c r="F61" s="40" t="s">
        <v>124</v>
      </c>
      <c r="G61" s="40" t="s">
        <v>16</v>
      </c>
      <c r="H61" s="40" t="s">
        <v>497</v>
      </c>
      <c r="I61" s="37" t="s">
        <v>32</v>
      </c>
      <c r="J61" t="str">
        <f>VLOOKUP(F61,'[1]BASE DE DADOS'!$A:$C,3,0)</f>
        <v>THIAGO SANTOS SILVA</v>
      </c>
    </row>
    <row r="62" spans="1:10" x14ac:dyDescent="0.25">
      <c r="A62" s="40" t="s">
        <v>285</v>
      </c>
      <c r="B62" s="41">
        <v>999881984811348</v>
      </c>
      <c r="C62" s="40" t="s">
        <v>40</v>
      </c>
      <c r="D62" s="40" t="s">
        <v>10</v>
      </c>
      <c r="E62" s="40" t="s">
        <v>286</v>
      </c>
      <c r="F62" s="40" t="s">
        <v>92</v>
      </c>
      <c r="G62" s="40" t="s">
        <v>16</v>
      </c>
      <c r="H62" s="40" t="s">
        <v>498</v>
      </c>
      <c r="I62" s="37" t="s">
        <v>32</v>
      </c>
      <c r="J62" t="str">
        <f>VLOOKUP(F62,'[1]BASE DE DADOS'!$A:$C,3,0)</f>
        <v>THIAGO SANTOS SILVA</v>
      </c>
    </row>
    <row r="63" spans="1:10" x14ac:dyDescent="0.25">
      <c r="A63" s="40" t="s">
        <v>287</v>
      </c>
      <c r="B63" s="41">
        <v>999882020545489</v>
      </c>
      <c r="C63" s="40" t="s">
        <v>40</v>
      </c>
      <c r="D63" s="40" t="s">
        <v>10</v>
      </c>
      <c r="E63" s="40" t="s">
        <v>288</v>
      </c>
      <c r="F63" s="40" t="s">
        <v>39</v>
      </c>
      <c r="G63" s="40" t="s">
        <v>16</v>
      </c>
      <c r="H63" s="40" t="s">
        <v>499</v>
      </c>
      <c r="I63" s="37" t="s">
        <v>32</v>
      </c>
      <c r="J63" t="str">
        <f>VLOOKUP(F63,'[1]BASE DE DADOS'!$A:$C,3,0)</f>
        <v>DANILO GOMES DA SILVA</v>
      </c>
    </row>
    <row r="64" spans="1:10" x14ac:dyDescent="0.25">
      <c r="A64" s="40" t="s">
        <v>289</v>
      </c>
      <c r="B64" s="41">
        <v>999882000647735</v>
      </c>
      <c r="C64" s="40" t="s">
        <v>40</v>
      </c>
      <c r="D64" s="40" t="s">
        <v>10</v>
      </c>
      <c r="E64" s="40" t="s">
        <v>290</v>
      </c>
      <c r="F64" s="40" t="s">
        <v>19</v>
      </c>
      <c r="G64" s="40" t="s">
        <v>16</v>
      </c>
      <c r="H64" s="40" t="s">
        <v>291</v>
      </c>
      <c r="I64" s="37" t="s">
        <v>32</v>
      </c>
      <c r="J64" t="str">
        <f>VLOOKUP(F64,'[1]BASE DE DADOS'!$A:$C,3,0)</f>
        <v>DANILO GOMES DA SILVA</v>
      </c>
    </row>
    <row r="65" spans="1:10" x14ac:dyDescent="0.25">
      <c r="A65" s="40" t="s">
        <v>292</v>
      </c>
      <c r="B65" s="41">
        <v>999882076431511</v>
      </c>
      <c r="C65" s="40" t="s">
        <v>40</v>
      </c>
      <c r="D65" s="40" t="s">
        <v>10</v>
      </c>
      <c r="E65" s="40" t="s">
        <v>293</v>
      </c>
      <c r="F65" s="40" t="s">
        <v>48</v>
      </c>
      <c r="G65" s="40" t="s">
        <v>16</v>
      </c>
      <c r="H65" s="40" t="s">
        <v>294</v>
      </c>
      <c r="I65" s="37" t="s">
        <v>32</v>
      </c>
      <c r="J65" t="str">
        <f>VLOOKUP(F65,'[1]BASE DE DADOS'!$A:$C,3,0)</f>
        <v>DANILO GOMES DA SILVA</v>
      </c>
    </row>
    <row r="66" spans="1:10" x14ac:dyDescent="0.25">
      <c r="A66" s="40" t="s">
        <v>295</v>
      </c>
      <c r="B66" s="41">
        <v>999882045452873</v>
      </c>
      <c r="C66" s="40" t="s">
        <v>40</v>
      </c>
      <c r="D66" s="40" t="s">
        <v>10</v>
      </c>
      <c r="E66" s="40" t="s">
        <v>296</v>
      </c>
      <c r="F66" s="40" t="s">
        <v>140</v>
      </c>
      <c r="G66" s="40" t="s">
        <v>16</v>
      </c>
      <c r="H66" s="40" t="s">
        <v>297</v>
      </c>
      <c r="I66" s="37" t="s">
        <v>32</v>
      </c>
      <c r="J66" t="str">
        <f>VLOOKUP(F66,'[1]BASE DE DADOS'!$A:$C,3,0)</f>
        <v>THIAGO SANTOS SILVA</v>
      </c>
    </row>
    <row r="67" spans="1:10" x14ac:dyDescent="0.25">
      <c r="A67" s="40" t="s">
        <v>298</v>
      </c>
      <c r="B67" s="41">
        <v>999881989659667</v>
      </c>
      <c r="C67" s="40" t="s">
        <v>41</v>
      </c>
      <c r="D67" s="40" t="s">
        <v>10</v>
      </c>
      <c r="E67" s="40" t="s">
        <v>299</v>
      </c>
      <c r="F67" s="40" t="s">
        <v>73</v>
      </c>
      <c r="G67" s="40" t="s">
        <v>16</v>
      </c>
      <c r="H67" s="40">
        <v>0</v>
      </c>
      <c r="I67" s="37" t="s">
        <v>33</v>
      </c>
      <c r="J67" t="str">
        <f>VLOOKUP(F67,'[1]BASE DE DADOS'!$A:$C,3,0)</f>
        <v>DANILO GOMES DA SILVA</v>
      </c>
    </row>
    <row r="68" spans="1:10" x14ac:dyDescent="0.25">
      <c r="A68" s="40" t="s">
        <v>300</v>
      </c>
      <c r="B68" s="41">
        <v>999881952584865</v>
      </c>
      <c r="C68" s="40" t="s">
        <v>40</v>
      </c>
      <c r="D68" s="40" t="s">
        <v>10</v>
      </c>
      <c r="E68" s="40" t="s">
        <v>301</v>
      </c>
      <c r="F68" s="40" t="s">
        <v>39</v>
      </c>
      <c r="G68" s="40" t="s">
        <v>16</v>
      </c>
      <c r="H68" s="40">
        <v>0</v>
      </c>
      <c r="I68" s="37" t="s">
        <v>33</v>
      </c>
      <c r="J68" t="str">
        <f>VLOOKUP(F68,'[1]BASE DE DADOS'!$A:$C,3,0)</f>
        <v>DANILO GOMES DA SILVA</v>
      </c>
    </row>
    <row r="69" spans="1:10" x14ac:dyDescent="0.25">
      <c r="A69" s="40" t="s">
        <v>302</v>
      </c>
      <c r="B69" s="41">
        <v>999882024973431</v>
      </c>
      <c r="C69" s="40" t="s">
        <v>40</v>
      </c>
      <c r="D69" s="40" t="s">
        <v>10</v>
      </c>
      <c r="E69" s="40" t="s">
        <v>303</v>
      </c>
      <c r="F69" s="40" t="s">
        <v>39</v>
      </c>
      <c r="G69" s="40" t="s">
        <v>16</v>
      </c>
      <c r="H69" s="40" t="s">
        <v>500</v>
      </c>
      <c r="I69" s="37" t="s">
        <v>32</v>
      </c>
      <c r="J69" t="str">
        <f>VLOOKUP(F69,'[1]BASE DE DADOS'!$A:$C,3,0)</f>
        <v>DANILO GOMES DA SILVA</v>
      </c>
    </row>
    <row r="70" spans="1:10" x14ac:dyDescent="0.25">
      <c r="A70" s="40" t="s">
        <v>304</v>
      </c>
      <c r="B70" s="41">
        <v>999882009571619</v>
      </c>
      <c r="C70" s="40" t="s">
        <v>40</v>
      </c>
      <c r="D70" s="40" t="s">
        <v>10</v>
      </c>
      <c r="E70" s="40" t="s">
        <v>305</v>
      </c>
      <c r="F70" s="40" t="s">
        <v>76</v>
      </c>
      <c r="G70" s="40" t="s">
        <v>16</v>
      </c>
      <c r="H70" s="40" t="s">
        <v>306</v>
      </c>
      <c r="I70" s="37" t="s">
        <v>32</v>
      </c>
      <c r="J70" t="str">
        <f>VLOOKUP(F70,'[1]BASE DE DADOS'!$A:$C,3,0)</f>
        <v>DANILO GOMES DA SILVA</v>
      </c>
    </row>
    <row r="71" spans="1:10" x14ac:dyDescent="0.25">
      <c r="A71" s="40" t="s">
        <v>307</v>
      </c>
      <c r="B71" s="41">
        <v>999882012425035</v>
      </c>
      <c r="C71" s="40" t="s">
        <v>40</v>
      </c>
      <c r="D71" s="40" t="s">
        <v>10</v>
      </c>
      <c r="E71" s="40" t="s">
        <v>308</v>
      </c>
      <c r="F71" s="40" t="s">
        <v>60</v>
      </c>
      <c r="G71" s="40" t="s">
        <v>16</v>
      </c>
      <c r="H71" s="40" t="s">
        <v>501</v>
      </c>
      <c r="I71" s="37" t="s">
        <v>32</v>
      </c>
      <c r="J71" t="str">
        <f>VLOOKUP(F71,'[1]BASE DE DADOS'!$A:$C,3,0)</f>
        <v>THIAGO SANTOS SILVA</v>
      </c>
    </row>
    <row r="72" spans="1:10" x14ac:dyDescent="0.25">
      <c r="A72" s="40" t="s">
        <v>309</v>
      </c>
      <c r="B72" s="41">
        <v>999881959622034</v>
      </c>
      <c r="C72" s="40" t="s">
        <v>40</v>
      </c>
      <c r="D72" s="40" t="s">
        <v>10</v>
      </c>
      <c r="E72" s="40" t="s">
        <v>310</v>
      </c>
      <c r="F72" s="40" t="s">
        <v>30</v>
      </c>
      <c r="G72" s="40" t="s">
        <v>16</v>
      </c>
      <c r="H72" s="40" t="s">
        <v>311</v>
      </c>
      <c r="I72" s="37" t="s">
        <v>32</v>
      </c>
      <c r="J72" t="str">
        <f>VLOOKUP(F72,'[1]BASE DE DADOS'!$A:$C,3,0)</f>
        <v>DANILO GOMES DA SILVA</v>
      </c>
    </row>
    <row r="73" spans="1:10" x14ac:dyDescent="0.25">
      <c r="A73" s="40" t="s">
        <v>312</v>
      </c>
      <c r="B73" s="41">
        <v>999882036912995</v>
      </c>
      <c r="C73" s="40" t="s">
        <v>40</v>
      </c>
      <c r="D73" s="40" t="s">
        <v>10</v>
      </c>
      <c r="E73" s="40" t="s">
        <v>313</v>
      </c>
      <c r="F73" s="40" t="s">
        <v>26</v>
      </c>
      <c r="G73" s="40" t="s">
        <v>16</v>
      </c>
      <c r="H73" s="40" t="s">
        <v>502</v>
      </c>
      <c r="I73" s="37" t="s">
        <v>32</v>
      </c>
      <c r="J73" t="str">
        <f>VLOOKUP(F73,'[1]BASE DE DADOS'!$A:$C,3,0)</f>
        <v>DANILO GOMES DA SILVA</v>
      </c>
    </row>
    <row r="74" spans="1:10" x14ac:dyDescent="0.25">
      <c r="A74" s="40" t="s">
        <v>314</v>
      </c>
      <c r="B74" s="41">
        <v>999881979721674</v>
      </c>
      <c r="C74" s="40" t="s">
        <v>40</v>
      </c>
      <c r="D74" s="40" t="s">
        <v>10</v>
      </c>
      <c r="E74" s="40" t="s">
        <v>315</v>
      </c>
      <c r="F74" s="40" t="s">
        <v>110</v>
      </c>
      <c r="G74" s="40" t="s">
        <v>16</v>
      </c>
      <c r="H74" s="40" t="s">
        <v>503</v>
      </c>
      <c r="I74" s="37" t="s">
        <v>32</v>
      </c>
      <c r="J74" t="str">
        <f>VLOOKUP(F74,'[1]BASE DE DADOS'!$A:$C,3,0)</f>
        <v>THIAGO SANTOS SILVA</v>
      </c>
    </row>
    <row r="75" spans="1:10" x14ac:dyDescent="0.25">
      <c r="A75" s="40" t="s">
        <v>316</v>
      </c>
      <c r="B75" s="41">
        <v>999882044954551</v>
      </c>
      <c r="C75" s="40" t="s">
        <v>40</v>
      </c>
      <c r="D75" s="40" t="s">
        <v>10</v>
      </c>
      <c r="E75" s="40" t="s">
        <v>317</v>
      </c>
      <c r="F75" s="40" t="s">
        <v>64</v>
      </c>
      <c r="G75" s="40" t="s">
        <v>16</v>
      </c>
      <c r="H75" s="40" t="s">
        <v>318</v>
      </c>
      <c r="I75" s="37" t="s">
        <v>32</v>
      </c>
      <c r="J75" t="str">
        <f>VLOOKUP(F75,'[1]BASE DE DADOS'!$A:$C,3,0)</f>
        <v>THIAGO SANTOS SILVA</v>
      </c>
    </row>
    <row r="76" spans="1:10" x14ac:dyDescent="0.25">
      <c r="A76" s="40" t="s">
        <v>319</v>
      </c>
      <c r="B76" s="41">
        <v>999882031852207</v>
      </c>
      <c r="C76" s="40" t="s">
        <v>40</v>
      </c>
      <c r="D76" s="40" t="s">
        <v>10</v>
      </c>
      <c r="E76" s="40" t="s">
        <v>320</v>
      </c>
      <c r="F76" s="40" t="s">
        <v>127</v>
      </c>
      <c r="G76" s="40" t="s">
        <v>16</v>
      </c>
      <c r="H76" s="40" t="s">
        <v>504</v>
      </c>
      <c r="I76" s="37" t="s">
        <v>32</v>
      </c>
      <c r="J76" t="str">
        <f>VLOOKUP(F76,'[1]BASE DE DADOS'!$A:$C,3,0)</f>
        <v>THIAGO SANTOS SILVA</v>
      </c>
    </row>
    <row r="77" spans="1:10" x14ac:dyDescent="0.25">
      <c r="A77" s="40" t="s">
        <v>321</v>
      </c>
      <c r="B77" s="41">
        <v>999881943740521</v>
      </c>
      <c r="C77" s="40" t="s">
        <v>40</v>
      </c>
      <c r="D77" s="40" t="s">
        <v>10</v>
      </c>
      <c r="E77" s="40" t="s">
        <v>322</v>
      </c>
      <c r="F77" s="40" t="s">
        <v>84</v>
      </c>
      <c r="G77" s="40" t="s">
        <v>16</v>
      </c>
      <c r="H77" s="40" t="s">
        <v>323</v>
      </c>
      <c r="I77" s="37" t="s">
        <v>32</v>
      </c>
      <c r="J77" t="str">
        <f>VLOOKUP(F77,'[1]BASE DE DADOS'!$A:$C,3,0)</f>
        <v>THIAGO SANTOS SILVA</v>
      </c>
    </row>
    <row r="78" spans="1:10" x14ac:dyDescent="0.25">
      <c r="A78" s="40" t="s">
        <v>324</v>
      </c>
      <c r="B78" s="41">
        <v>999882033085770</v>
      </c>
      <c r="C78" s="40" t="s">
        <v>40</v>
      </c>
      <c r="D78" s="40" t="s">
        <v>10</v>
      </c>
      <c r="E78" s="40" t="s">
        <v>325</v>
      </c>
      <c r="F78" s="40" t="s">
        <v>30</v>
      </c>
      <c r="G78" s="40" t="s">
        <v>16</v>
      </c>
      <c r="H78" s="40" t="s">
        <v>505</v>
      </c>
      <c r="I78" s="37" t="s">
        <v>32</v>
      </c>
      <c r="J78" t="str">
        <f>VLOOKUP(F78,'[1]BASE DE DADOS'!$A:$C,3,0)</f>
        <v>DANILO GOMES DA SILVA</v>
      </c>
    </row>
    <row r="79" spans="1:10" x14ac:dyDescent="0.25">
      <c r="A79" s="40" t="s">
        <v>326</v>
      </c>
      <c r="B79" s="41">
        <v>999882030490650</v>
      </c>
      <c r="C79" s="40" t="s">
        <v>41</v>
      </c>
      <c r="D79" s="40" t="s">
        <v>10</v>
      </c>
      <c r="E79" s="40" t="s">
        <v>327</v>
      </c>
      <c r="F79" s="40" t="s">
        <v>139</v>
      </c>
      <c r="G79" s="40" t="s">
        <v>16</v>
      </c>
      <c r="H79" s="40" t="s">
        <v>897</v>
      </c>
      <c r="I79" s="37" t="s">
        <v>32</v>
      </c>
      <c r="J79" t="str">
        <f>VLOOKUP(F79,'[1]BASE DE DADOS'!$A:$C,3,0)</f>
        <v>THIAGO SANTOS SILVA</v>
      </c>
    </row>
    <row r="80" spans="1:10" x14ac:dyDescent="0.25">
      <c r="A80" s="40" t="s">
        <v>328</v>
      </c>
      <c r="B80" s="41">
        <v>999881994243279</v>
      </c>
      <c r="C80" s="40" t="s">
        <v>40</v>
      </c>
      <c r="D80" s="40" t="s">
        <v>10</v>
      </c>
      <c r="E80" s="40" t="s">
        <v>329</v>
      </c>
      <c r="F80" s="40" t="s">
        <v>60</v>
      </c>
      <c r="G80" s="40" t="s">
        <v>16</v>
      </c>
      <c r="H80" s="40" t="s">
        <v>330</v>
      </c>
      <c r="I80" s="37" t="s">
        <v>32</v>
      </c>
      <c r="J80" t="str">
        <f>VLOOKUP(F80,'[1]BASE DE DADOS'!$A:$C,3,0)</f>
        <v>THIAGO SANTOS SILVA</v>
      </c>
    </row>
    <row r="81" spans="1:10" x14ac:dyDescent="0.25">
      <c r="A81" s="40" t="s">
        <v>331</v>
      </c>
      <c r="B81" s="41">
        <v>999882029579336</v>
      </c>
      <c r="C81" s="40" t="s">
        <v>40</v>
      </c>
      <c r="D81" s="40" t="s">
        <v>10</v>
      </c>
      <c r="E81" s="40" t="s">
        <v>332</v>
      </c>
      <c r="F81" s="40" t="s">
        <v>19</v>
      </c>
      <c r="G81" s="40" t="s">
        <v>16</v>
      </c>
      <c r="H81" s="40" t="s">
        <v>333</v>
      </c>
      <c r="I81" s="37" t="s">
        <v>32</v>
      </c>
      <c r="J81" t="str">
        <f>VLOOKUP(F81,'[1]BASE DE DADOS'!$A:$C,3,0)</f>
        <v>DANILO GOMES DA SILVA</v>
      </c>
    </row>
    <row r="82" spans="1:10" x14ac:dyDescent="0.25">
      <c r="A82" s="40" t="s">
        <v>334</v>
      </c>
      <c r="B82" s="41">
        <v>999882004338146</v>
      </c>
      <c r="C82" s="40" t="s">
        <v>40</v>
      </c>
      <c r="D82" s="40" t="s">
        <v>10</v>
      </c>
      <c r="E82" s="40" t="s">
        <v>335</v>
      </c>
      <c r="F82" s="40" t="s">
        <v>39</v>
      </c>
      <c r="G82" s="40" t="s">
        <v>16</v>
      </c>
      <c r="H82" s="40" t="s">
        <v>506</v>
      </c>
      <c r="I82" s="37" t="s">
        <v>32</v>
      </c>
      <c r="J82" t="str">
        <f>VLOOKUP(F82,'[1]BASE DE DADOS'!$A:$C,3,0)</f>
        <v>DANILO GOMES DA SILVA</v>
      </c>
    </row>
    <row r="83" spans="1:10" x14ac:dyDescent="0.25">
      <c r="A83" s="40" t="s">
        <v>336</v>
      </c>
      <c r="B83" s="41">
        <v>999882027425835</v>
      </c>
      <c r="C83" s="40" t="s">
        <v>40</v>
      </c>
      <c r="D83" s="40" t="s">
        <v>10</v>
      </c>
      <c r="E83" s="40" t="s">
        <v>337</v>
      </c>
      <c r="F83" s="40" t="s">
        <v>71</v>
      </c>
      <c r="G83" s="40" t="s">
        <v>16</v>
      </c>
      <c r="H83" s="40" t="s">
        <v>507</v>
      </c>
      <c r="I83" s="37" t="s">
        <v>32</v>
      </c>
      <c r="J83" t="str">
        <f>VLOOKUP(F83,'[1]BASE DE DADOS'!$A:$C,3,0)</f>
        <v>THIAGO SANTOS SILVA</v>
      </c>
    </row>
    <row r="84" spans="1:10" x14ac:dyDescent="0.25">
      <c r="A84" s="40" t="s">
        <v>338</v>
      </c>
      <c r="B84" s="41">
        <v>999882015204164</v>
      </c>
      <c r="C84" s="40" t="s">
        <v>40</v>
      </c>
      <c r="D84" s="40" t="s">
        <v>10</v>
      </c>
      <c r="E84" s="40" t="s">
        <v>339</v>
      </c>
      <c r="F84" s="40" t="s">
        <v>27</v>
      </c>
      <c r="G84" s="40" t="s">
        <v>16</v>
      </c>
      <c r="H84" s="40" t="s">
        <v>508</v>
      </c>
      <c r="I84" s="37" t="s">
        <v>32</v>
      </c>
      <c r="J84" t="str">
        <f>VLOOKUP(F84,'[1]BASE DE DADOS'!$A:$C,3,0)</f>
        <v>THIAGO SANTOS SILVA</v>
      </c>
    </row>
    <row r="85" spans="1:10" x14ac:dyDescent="0.25">
      <c r="A85" s="40" t="s">
        <v>340</v>
      </c>
      <c r="B85" s="41">
        <v>999882011560317</v>
      </c>
      <c r="C85" s="40" t="s">
        <v>40</v>
      </c>
      <c r="D85" s="40" t="s">
        <v>10</v>
      </c>
      <c r="E85" s="40" t="s">
        <v>341</v>
      </c>
      <c r="F85" s="40" t="s">
        <v>27</v>
      </c>
      <c r="G85" s="40" t="s">
        <v>16</v>
      </c>
      <c r="H85" s="40" t="s">
        <v>508</v>
      </c>
      <c r="I85" s="37" t="s">
        <v>32</v>
      </c>
      <c r="J85" t="str">
        <f>VLOOKUP(F85,'[1]BASE DE DADOS'!$A:$C,3,0)</f>
        <v>THIAGO SANTOS SILVA</v>
      </c>
    </row>
    <row r="86" spans="1:10" x14ac:dyDescent="0.25">
      <c r="A86" s="40" t="s">
        <v>342</v>
      </c>
      <c r="B86" s="41">
        <v>999882018195386</v>
      </c>
      <c r="C86" s="40" t="s">
        <v>40</v>
      </c>
      <c r="D86" s="40" t="s">
        <v>10</v>
      </c>
      <c r="E86" s="40" t="s">
        <v>343</v>
      </c>
      <c r="F86" s="40" t="s">
        <v>27</v>
      </c>
      <c r="G86" s="40" t="s">
        <v>16</v>
      </c>
      <c r="H86" s="40" t="s">
        <v>508</v>
      </c>
      <c r="I86" s="37" t="s">
        <v>32</v>
      </c>
      <c r="J86" t="str">
        <f>VLOOKUP(F86,'[1]BASE DE DADOS'!$A:$C,3,0)</f>
        <v>THIAGO SANTOS SILVA</v>
      </c>
    </row>
    <row r="87" spans="1:10" x14ac:dyDescent="0.25">
      <c r="A87" s="40" t="s">
        <v>344</v>
      </c>
      <c r="B87" s="41">
        <v>999882007151450</v>
      </c>
      <c r="C87" s="40" t="s">
        <v>40</v>
      </c>
      <c r="D87" s="40" t="s">
        <v>10</v>
      </c>
      <c r="E87" s="40" t="s">
        <v>345</v>
      </c>
      <c r="F87" s="40" t="s">
        <v>27</v>
      </c>
      <c r="G87" s="40" t="s">
        <v>16</v>
      </c>
      <c r="H87" s="40" t="s">
        <v>509</v>
      </c>
      <c r="I87" s="37" t="s">
        <v>32</v>
      </c>
      <c r="J87" t="str">
        <f>VLOOKUP(F87,'[1]BASE DE DADOS'!$A:$C,3,0)</f>
        <v>THIAGO SANTOS SILVA</v>
      </c>
    </row>
    <row r="88" spans="1:10" x14ac:dyDescent="0.25">
      <c r="A88" s="40" t="s">
        <v>346</v>
      </c>
      <c r="B88" s="41">
        <v>999882045639390</v>
      </c>
      <c r="C88" s="40" t="s">
        <v>40</v>
      </c>
      <c r="D88" s="40" t="s">
        <v>10</v>
      </c>
      <c r="E88" s="40" t="s">
        <v>347</v>
      </c>
      <c r="F88" s="40" t="s">
        <v>38</v>
      </c>
      <c r="G88" s="40" t="s">
        <v>16</v>
      </c>
      <c r="H88" s="40" t="s">
        <v>348</v>
      </c>
      <c r="I88" s="37" t="s">
        <v>32</v>
      </c>
      <c r="J88" t="str">
        <f>VLOOKUP(F88,'[1]BASE DE DADOS'!$A:$C,3,0)</f>
        <v>THIAGO SANTOS SILVA</v>
      </c>
    </row>
    <row r="89" spans="1:10" x14ac:dyDescent="0.25">
      <c r="A89" s="40" t="s">
        <v>349</v>
      </c>
      <c r="B89" s="41">
        <v>999882036359524</v>
      </c>
      <c r="C89" s="40" t="s">
        <v>41</v>
      </c>
      <c r="D89" s="40" t="s">
        <v>10</v>
      </c>
      <c r="E89" s="40" t="s">
        <v>350</v>
      </c>
      <c r="F89" s="40" t="s">
        <v>15</v>
      </c>
      <c r="G89" s="40" t="s">
        <v>16</v>
      </c>
      <c r="H89" s="40">
        <v>0</v>
      </c>
      <c r="I89" s="37" t="s">
        <v>33</v>
      </c>
      <c r="J89" t="str">
        <f>VLOOKUP(F89,'[1]BASE DE DADOS'!$A:$C,3,0)</f>
        <v>DANILO GOMES DA SILVA</v>
      </c>
    </row>
    <row r="90" spans="1:10" x14ac:dyDescent="0.25">
      <c r="A90" s="40" t="s">
        <v>351</v>
      </c>
      <c r="B90" s="41">
        <v>999882047243618</v>
      </c>
      <c r="C90" s="40" t="s">
        <v>40</v>
      </c>
      <c r="D90" s="40" t="s">
        <v>10</v>
      </c>
      <c r="E90" s="40" t="s">
        <v>352</v>
      </c>
      <c r="F90" s="40" t="s">
        <v>99</v>
      </c>
      <c r="G90" s="40" t="s">
        <v>16</v>
      </c>
      <c r="H90" s="40" t="s">
        <v>510</v>
      </c>
      <c r="I90" s="37" t="s">
        <v>32</v>
      </c>
      <c r="J90" t="str">
        <f>VLOOKUP(F90,'[1]BASE DE DADOS'!$A:$C,3,0)</f>
        <v>DANILO GOMES DA SILVA</v>
      </c>
    </row>
    <row r="91" spans="1:10" x14ac:dyDescent="0.25">
      <c r="A91" s="40" t="s">
        <v>353</v>
      </c>
      <c r="B91" s="41">
        <v>999882000736174</v>
      </c>
      <c r="C91" s="40" t="s">
        <v>41</v>
      </c>
      <c r="D91" s="40" t="s">
        <v>10</v>
      </c>
      <c r="E91" s="40" t="s">
        <v>354</v>
      </c>
      <c r="F91" s="40" t="s">
        <v>26</v>
      </c>
      <c r="G91" s="40" t="s">
        <v>16</v>
      </c>
      <c r="H91" s="40">
        <v>0</v>
      </c>
      <c r="I91" s="37" t="s">
        <v>33</v>
      </c>
      <c r="J91" t="str">
        <f>VLOOKUP(F91,'[1]BASE DE DADOS'!$A:$C,3,0)</f>
        <v>DANILO GOMES DA SILVA</v>
      </c>
    </row>
    <row r="92" spans="1:10" x14ac:dyDescent="0.25">
      <c r="A92" s="40" t="s">
        <v>355</v>
      </c>
      <c r="B92" s="41">
        <v>999882028379935</v>
      </c>
      <c r="C92" s="40" t="s">
        <v>40</v>
      </c>
      <c r="D92" s="40" t="s">
        <v>10</v>
      </c>
      <c r="E92" s="40" t="s">
        <v>356</v>
      </c>
      <c r="F92" s="40" t="s">
        <v>131</v>
      </c>
      <c r="G92" s="40" t="s">
        <v>16</v>
      </c>
      <c r="H92" s="40" t="s">
        <v>511</v>
      </c>
      <c r="I92" s="37" t="s">
        <v>32</v>
      </c>
      <c r="J92" t="str">
        <f>VLOOKUP(F92,'[1]BASE DE DADOS'!$A:$C,3,0)</f>
        <v>THIAGO SANTOS SILVA</v>
      </c>
    </row>
    <row r="93" spans="1:10" x14ac:dyDescent="0.25">
      <c r="A93" s="40" t="s">
        <v>357</v>
      </c>
      <c r="B93" s="41">
        <v>999881939285292</v>
      </c>
      <c r="C93" s="40" t="s">
        <v>40</v>
      </c>
      <c r="D93" s="40" t="s">
        <v>10</v>
      </c>
      <c r="E93" s="40" t="s">
        <v>358</v>
      </c>
      <c r="F93" s="40" t="s">
        <v>30</v>
      </c>
      <c r="G93" s="40" t="s">
        <v>16</v>
      </c>
      <c r="H93" s="40" t="s">
        <v>218</v>
      </c>
      <c r="I93" s="37" t="s">
        <v>32</v>
      </c>
      <c r="J93" t="str">
        <f>VLOOKUP(F93,'[1]BASE DE DADOS'!$A:$C,3,0)</f>
        <v>DANILO GOMES DA SILVA</v>
      </c>
    </row>
    <row r="94" spans="1:10" x14ac:dyDescent="0.25">
      <c r="A94" s="40" t="s">
        <v>359</v>
      </c>
      <c r="B94" s="41">
        <v>999882012059861</v>
      </c>
      <c r="C94" s="40" t="s">
        <v>40</v>
      </c>
      <c r="D94" s="40" t="s">
        <v>10</v>
      </c>
      <c r="E94" s="40" t="s">
        <v>360</v>
      </c>
      <c r="F94" s="40" t="s">
        <v>90</v>
      </c>
      <c r="G94" s="40" t="s">
        <v>16</v>
      </c>
      <c r="H94" s="40" t="s">
        <v>361</v>
      </c>
      <c r="I94" s="37" t="s">
        <v>32</v>
      </c>
      <c r="J94" t="str">
        <f>VLOOKUP(F94,'[1]BASE DE DADOS'!$A:$C,3,0)</f>
        <v>THIAGO SANTOS SILVA</v>
      </c>
    </row>
    <row r="95" spans="1:10" x14ac:dyDescent="0.25">
      <c r="A95" s="40" t="s">
        <v>362</v>
      </c>
      <c r="B95" s="41">
        <v>999882035453195</v>
      </c>
      <c r="C95" s="40" t="s">
        <v>40</v>
      </c>
      <c r="D95" s="40" t="s">
        <v>10</v>
      </c>
      <c r="E95" s="40" t="s">
        <v>363</v>
      </c>
      <c r="F95" s="40" t="s">
        <v>61</v>
      </c>
      <c r="G95" s="40" t="s">
        <v>16</v>
      </c>
      <c r="H95" s="40" t="s">
        <v>512</v>
      </c>
      <c r="I95" s="37" t="s">
        <v>32</v>
      </c>
      <c r="J95" t="str">
        <f>VLOOKUP(F95,'[1]BASE DE DADOS'!$A:$C,3,0)</f>
        <v>THIAGO SANTOS SILVA</v>
      </c>
    </row>
    <row r="96" spans="1:10" x14ac:dyDescent="0.25">
      <c r="A96" s="40" t="s">
        <v>364</v>
      </c>
      <c r="B96" s="41">
        <v>999881943675297</v>
      </c>
      <c r="C96" s="40" t="s">
        <v>40</v>
      </c>
      <c r="D96" s="40" t="s">
        <v>10</v>
      </c>
      <c r="E96" s="40" t="s">
        <v>365</v>
      </c>
      <c r="F96" s="40" t="s">
        <v>61</v>
      </c>
      <c r="G96" s="40" t="s">
        <v>16</v>
      </c>
      <c r="H96" s="40" t="s">
        <v>513</v>
      </c>
      <c r="I96" s="37" t="s">
        <v>32</v>
      </c>
      <c r="J96" t="str">
        <f>VLOOKUP(F96,'[1]BASE DE DADOS'!$A:$C,3,0)</f>
        <v>THIAGO SANTOS SILVA</v>
      </c>
    </row>
    <row r="97" spans="1:10" x14ac:dyDescent="0.25">
      <c r="A97" s="40" t="s">
        <v>366</v>
      </c>
      <c r="B97" s="41">
        <v>999882033667829</v>
      </c>
      <c r="C97" s="40" t="s">
        <v>41</v>
      </c>
      <c r="D97" s="40" t="s">
        <v>10</v>
      </c>
      <c r="E97" s="40" t="s">
        <v>367</v>
      </c>
      <c r="F97" s="40" t="s">
        <v>15</v>
      </c>
      <c r="G97" s="40" t="s">
        <v>16</v>
      </c>
      <c r="H97" s="40">
        <v>0</v>
      </c>
      <c r="I97" s="37" t="s">
        <v>33</v>
      </c>
      <c r="J97" t="str">
        <f>VLOOKUP(F97,'[1]BASE DE DADOS'!$A:$C,3,0)</f>
        <v>DANILO GOMES DA SILVA</v>
      </c>
    </row>
    <row r="98" spans="1:10" x14ac:dyDescent="0.25">
      <c r="A98" s="40" t="s">
        <v>368</v>
      </c>
      <c r="B98" s="41">
        <v>999881968345334</v>
      </c>
      <c r="C98" s="40" t="s">
        <v>40</v>
      </c>
      <c r="D98" s="40" t="s">
        <v>10</v>
      </c>
      <c r="E98" s="40" t="s">
        <v>369</v>
      </c>
      <c r="F98" s="40" t="s">
        <v>82</v>
      </c>
      <c r="G98" s="40" t="s">
        <v>16</v>
      </c>
      <c r="H98" s="40" t="s">
        <v>370</v>
      </c>
      <c r="I98" s="37" t="s">
        <v>32</v>
      </c>
      <c r="J98" t="str">
        <f>VLOOKUP(F98,'[1]BASE DE DADOS'!$A:$C,3,0)</f>
        <v>DANILO GOMES DA SILVA</v>
      </c>
    </row>
    <row r="99" spans="1:10" x14ac:dyDescent="0.25">
      <c r="A99" s="40" t="s">
        <v>371</v>
      </c>
      <c r="B99" s="41">
        <v>999882014809624</v>
      </c>
      <c r="C99" s="40" t="s">
        <v>40</v>
      </c>
      <c r="D99" s="40" t="s">
        <v>10</v>
      </c>
      <c r="E99" s="40" t="s">
        <v>372</v>
      </c>
      <c r="F99" s="40" t="s">
        <v>46</v>
      </c>
      <c r="G99" s="40" t="s">
        <v>16</v>
      </c>
      <c r="H99" s="40" t="s">
        <v>514</v>
      </c>
      <c r="I99" s="37" t="s">
        <v>32</v>
      </c>
      <c r="J99" t="str">
        <f>VLOOKUP(F99,'[1]BASE DE DADOS'!$A:$C,3,0)</f>
        <v>DANILO GOMES DA SILVA</v>
      </c>
    </row>
    <row r="100" spans="1:10" x14ac:dyDescent="0.25">
      <c r="A100" s="40" t="s">
        <v>373</v>
      </c>
      <c r="B100" s="41">
        <v>999882013809446</v>
      </c>
      <c r="C100" s="40" t="s">
        <v>40</v>
      </c>
      <c r="D100" s="40" t="s">
        <v>10</v>
      </c>
      <c r="E100" s="40" t="s">
        <v>374</v>
      </c>
      <c r="F100" s="40" t="s">
        <v>21</v>
      </c>
      <c r="G100" s="40" t="s">
        <v>16</v>
      </c>
      <c r="H100" s="40" t="s">
        <v>515</v>
      </c>
      <c r="I100" s="37" t="s">
        <v>32</v>
      </c>
      <c r="J100" t="str">
        <f>VLOOKUP(F100,'[1]BASE DE DADOS'!$A:$C,3,0)</f>
        <v>DANILO GOMES DA SILVA</v>
      </c>
    </row>
    <row r="101" spans="1:10" x14ac:dyDescent="0.25">
      <c r="A101" s="40" t="s">
        <v>375</v>
      </c>
      <c r="B101" s="41">
        <v>999881961767494</v>
      </c>
      <c r="C101" s="40" t="s">
        <v>40</v>
      </c>
      <c r="D101" s="40" t="s">
        <v>10</v>
      </c>
      <c r="E101" s="40" t="s">
        <v>376</v>
      </c>
      <c r="F101" s="40" t="s">
        <v>70</v>
      </c>
      <c r="G101" s="40" t="s">
        <v>16</v>
      </c>
      <c r="H101" s="40" t="s">
        <v>516</v>
      </c>
      <c r="I101" s="37" t="s">
        <v>32</v>
      </c>
      <c r="J101" t="str">
        <f>VLOOKUP(F101,'[1]BASE DE DADOS'!$A:$C,3,0)</f>
        <v>THIAGO SANTOS SILVA</v>
      </c>
    </row>
    <row r="102" spans="1:10" x14ac:dyDescent="0.25">
      <c r="A102" s="40" t="s">
        <v>377</v>
      </c>
      <c r="B102" s="41">
        <v>999881983781292</v>
      </c>
      <c r="C102" s="40" t="s">
        <v>40</v>
      </c>
      <c r="D102" s="40" t="s">
        <v>10</v>
      </c>
      <c r="E102" s="40" t="s">
        <v>378</v>
      </c>
      <c r="F102" s="40" t="s">
        <v>112</v>
      </c>
      <c r="G102" s="40" t="s">
        <v>16</v>
      </c>
      <c r="H102" s="40" t="s">
        <v>379</v>
      </c>
      <c r="I102" s="37" t="s">
        <v>32</v>
      </c>
      <c r="J102" t="str">
        <f>VLOOKUP(F102,'[1]BASE DE DADOS'!$A:$C,3,0)</f>
        <v>DANILO GOMES DA SILVA</v>
      </c>
    </row>
    <row r="103" spans="1:10" x14ac:dyDescent="0.25">
      <c r="A103" s="40" t="s">
        <v>380</v>
      </c>
      <c r="B103" s="41">
        <v>999881965038575</v>
      </c>
      <c r="C103" s="40" t="s">
        <v>40</v>
      </c>
      <c r="D103" s="40" t="s">
        <v>10</v>
      </c>
      <c r="E103" s="40" t="s">
        <v>381</v>
      </c>
      <c r="F103" s="40" t="s">
        <v>112</v>
      </c>
      <c r="G103" s="40" t="s">
        <v>16</v>
      </c>
      <c r="H103" s="40" t="s">
        <v>379</v>
      </c>
      <c r="I103" s="37" t="s">
        <v>32</v>
      </c>
      <c r="J103" t="str">
        <f>VLOOKUP(F103,'[1]BASE DE DADOS'!$A:$C,3,0)</f>
        <v>DANILO GOMES DA SILVA</v>
      </c>
    </row>
    <row r="104" spans="1:10" x14ac:dyDescent="0.25">
      <c r="A104" s="40" t="s">
        <v>382</v>
      </c>
      <c r="B104" s="41">
        <v>999882037639259</v>
      </c>
      <c r="C104" s="40" t="s">
        <v>40</v>
      </c>
      <c r="D104" s="40" t="s">
        <v>10</v>
      </c>
      <c r="E104" s="40" t="s">
        <v>383</v>
      </c>
      <c r="F104" s="40" t="s">
        <v>103</v>
      </c>
      <c r="G104" s="40" t="s">
        <v>16</v>
      </c>
      <c r="H104" s="40" t="s">
        <v>517</v>
      </c>
      <c r="I104" s="37" t="s">
        <v>32</v>
      </c>
      <c r="J104" t="str">
        <f>VLOOKUP(F104,'[1]BASE DE DADOS'!$A:$C,3,0)</f>
        <v>DANILO GOMES DA SILVA</v>
      </c>
    </row>
    <row r="105" spans="1:10" x14ac:dyDescent="0.25">
      <c r="A105" s="40" t="s">
        <v>384</v>
      </c>
      <c r="B105" s="41">
        <v>999881980926236</v>
      </c>
      <c r="C105" s="40" t="s">
        <v>40</v>
      </c>
      <c r="D105" s="40" t="s">
        <v>10</v>
      </c>
      <c r="E105" s="40" t="s">
        <v>385</v>
      </c>
      <c r="F105" s="40" t="s">
        <v>112</v>
      </c>
      <c r="G105" s="40" t="s">
        <v>16</v>
      </c>
      <c r="H105" s="40" t="s">
        <v>379</v>
      </c>
      <c r="I105" s="37" t="s">
        <v>32</v>
      </c>
      <c r="J105" t="str">
        <f>VLOOKUP(F105,'[1]BASE DE DADOS'!$A:$C,3,0)</f>
        <v>DANILO GOMES DA SILVA</v>
      </c>
    </row>
    <row r="106" spans="1:10" x14ac:dyDescent="0.25">
      <c r="A106" s="40" t="s">
        <v>386</v>
      </c>
      <c r="B106" s="41">
        <v>999881965818385</v>
      </c>
      <c r="C106" s="40" t="s">
        <v>40</v>
      </c>
      <c r="D106" s="40" t="s">
        <v>10</v>
      </c>
      <c r="E106" s="40" t="s">
        <v>387</v>
      </c>
      <c r="F106" s="40" t="s">
        <v>26</v>
      </c>
      <c r="G106" s="40" t="s">
        <v>16</v>
      </c>
      <c r="H106" s="40" t="s">
        <v>518</v>
      </c>
      <c r="I106" s="37" t="s">
        <v>32</v>
      </c>
      <c r="J106" t="str">
        <f>VLOOKUP(F106,'[1]BASE DE DADOS'!$A:$C,3,0)</f>
        <v>DANILO GOMES DA SILVA</v>
      </c>
    </row>
    <row r="107" spans="1:10" x14ac:dyDescent="0.25">
      <c r="A107" s="40" t="s">
        <v>388</v>
      </c>
      <c r="B107" s="41">
        <v>999882001952231</v>
      </c>
      <c r="C107" s="40" t="s">
        <v>40</v>
      </c>
      <c r="D107" s="40" t="s">
        <v>10</v>
      </c>
      <c r="E107" s="40" t="s">
        <v>389</v>
      </c>
      <c r="F107" s="40" t="s">
        <v>103</v>
      </c>
      <c r="G107" s="40" t="s">
        <v>16</v>
      </c>
      <c r="H107" s="40" t="s">
        <v>390</v>
      </c>
      <c r="I107" s="37" t="s">
        <v>32</v>
      </c>
      <c r="J107" t="str">
        <f>VLOOKUP(F107,'[1]BASE DE DADOS'!$A:$C,3,0)</f>
        <v>DANILO GOMES DA SILVA</v>
      </c>
    </row>
    <row r="108" spans="1:10" x14ac:dyDescent="0.25">
      <c r="A108" s="40" t="s">
        <v>391</v>
      </c>
      <c r="B108" s="41">
        <v>999881944336475</v>
      </c>
      <c r="C108" s="40" t="s">
        <v>40</v>
      </c>
      <c r="D108" s="40" t="s">
        <v>10</v>
      </c>
      <c r="E108" s="40" t="s">
        <v>392</v>
      </c>
      <c r="F108" s="40" t="s">
        <v>393</v>
      </c>
      <c r="G108" s="40" t="s">
        <v>16</v>
      </c>
      <c r="H108" s="40" t="s">
        <v>519</v>
      </c>
      <c r="I108" s="37" t="s">
        <v>32</v>
      </c>
      <c r="J108" t="str">
        <f>VLOOKUP(F108,'[1]BASE DE DADOS'!$A:$C,3,0)</f>
        <v>DANILO GOMES DA SILVA</v>
      </c>
    </row>
    <row r="109" spans="1:10" x14ac:dyDescent="0.25">
      <c r="A109" s="40" t="s">
        <v>394</v>
      </c>
      <c r="B109" s="41">
        <v>999882021600430</v>
      </c>
      <c r="C109" s="40" t="s">
        <v>40</v>
      </c>
      <c r="D109" s="40" t="s">
        <v>10</v>
      </c>
      <c r="E109" s="40" t="s">
        <v>395</v>
      </c>
      <c r="F109" s="40" t="s">
        <v>103</v>
      </c>
      <c r="G109" s="40" t="s">
        <v>16</v>
      </c>
      <c r="H109" s="40" t="s">
        <v>390</v>
      </c>
      <c r="I109" s="37" t="s">
        <v>32</v>
      </c>
      <c r="J109" t="str">
        <f>VLOOKUP(F109,'[1]BASE DE DADOS'!$A:$C,3,0)</f>
        <v>DANILO GOMES DA SILVA</v>
      </c>
    </row>
    <row r="110" spans="1:10" x14ac:dyDescent="0.25">
      <c r="A110" s="40" t="s">
        <v>396</v>
      </c>
      <c r="B110" s="41">
        <v>999882008503755</v>
      </c>
      <c r="C110" s="40" t="s">
        <v>40</v>
      </c>
      <c r="D110" s="40" t="s">
        <v>10</v>
      </c>
      <c r="E110" s="40" t="s">
        <v>397</v>
      </c>
      <c r="F110" s="40" t="s">
        <v>39</v>
      </c>
      <c r="G110" s="40" t="s">
        <v>16</v>
      </c>
      <c r="H110" s="40" t="s">
        <v>520</v>
      </c>
      <c r="I110" s="37" t="s">
        <v>32</v>
      </c>
      <c r="J110" t="str">
        <f>VLOOKUP(F110,'[1]BASE DE DADOS'!$A:$C,3,0)</f>
        <v>DANILO GOMES DA SILVA</v>
      </c>
    </row>
    <row r="111" spans="1:10" x14ac:dyDescent="0.25">
      <c r="A111" s="40" t="s">
        <v>398</v>
      </c>
      <c r="B111" s="41">
        <v>999881934789454</v>
      </c>
      <c r="C111" s="40" t="s">
        <v>41</v>
      </c>
      <c r="D111" s="40" t="s">
        <v>10</v>
      </c>
      <c r="E111" s="40" t="s">
        <v>399</v>
      </c>
      <c r="F111" s="40" t="s">
        <v>77</v>
      </c>
      <c r="G111" s="40" t="s">
        <v>16</v>
      </c>
      <c r="H111" s="40">
        <v>0</v>
      </c>
      <c r="I111" s="37" t="s">
        <v>33</v>
      </c>
      <c r="J111" t="str">
        <f>VLOOKUP(F111,'[1]BASE DE DADOS'!$A:$C,3,0)</f>
        <v>THIAGO SANTOS SILVA</v>
      </c>
    </row>
    <row r="112" spans="1:10" x14ac:dyDescent="0.25">
      <c r="A112" s="40" t="s">
        <v>400</v>
      </c>
      <c r="B112" s="41">
        <v>999882039635564</v>
      </c>
      <c r="C112" s="40" t="s">
        <v>40</v>
      </c>
      <c r="D112" s="40" t="s">
        <v>10</v>
      </c>
      <c r="E112" s="40" t="s">
        <v>401</v>
      </c>
      <c r="F112" s="40" t="s">
        <v>106</v>
      </c>
      <c r="G112" s="40" t="s">
        <v>16</v>
      </c>
      <c r="H112" s="40" t="s">
        <v>402</v>
      </c>
      <c r="I112" s="37" t="s">
        <v>32</v>
      </c>
      <c r="J112" t="str">
        <f>VLOOKUP(F112,'[1]BASE DE DADOS'!$A:$C,3,0)</f>
        <v>THIAGO SANTOS SILVA</v>
      </c>
    </row>
    <row r="113" spans="1:10" x14ac:dyDescent="0.25">
      <c r="A113" s="40" t="s">
        <v>403</v>
      </c>
      <c r="B113" s="41">
        <v>999882010752179</v>
      </c>
      <c r="C113" s="40" t="s">
        <v>40</v>
      </c>
      <c r="D113" s="40" t="s">
        <v>10</v>
      </c>
      <c r="E113" s="40" t="s">
        <v>404</v>
      </c>
      <c r="F113" s="40" t="s">
        <v>48</v>
      </c>
      <c r="G113" s="40" t="s">
        <v>16</v>
      </c>
      <c r="H113" s="40" t="s">
        <v>405</v>
      </c>
      <c r="I113" s="37" t="s">
        <v>32</v>
      </c>
      <c r="J113" t="str">
        <f>VLOOKUP(F113,'[1]BASE DE DADOS'!$A:$C,3,0)</f>
        <v>DANILO GOMES DA SILVA</v>
      </c>
    </row>
    <row r="114" spans="1:10" x14ac:dyDescent="0.25">
      <c r="A114" s="40" t="s">
        <v>406</v>
      </c>
      <c r="B114" s="41">
        <v>999881965896521</v>
      </c>
      <c r="C114" s="40" t="s">
        <v>40</v>
      </c>
      <c r="D114" s="40" t="s">
        <v>10</v>
      </c>
      <c r="E114" s="40" t="s">
        <v>407</v>
      </c>
      <c r="F114" s="40" t="s">
        <v>61</v>
      </c>
      <c r="G114" s="40" t="s">
        <v>16</v>
      </c>
      <c r="H114" s="40" t="s">
        <v>521</v>
      </c>
      <c r="I114" s="37" t="s">
        <v>32</v>
      </c>
      <c r="J114" t="str">
        <f>VLOOKUP(F114,'[1]BASE DE DADOS'!$A:$C,3,0)</f>
        <v>THIAGO SANTOS SILVA</v>
      </c>
    </row>
    <row r="115" spans="1:10" x14ac:dyDescent="0.25">
      <c r="A115" s="40" t="s">
        <v>408</v>
      </c>
      <c r="B115" s="41">
        <v>999882044753212</v>
      </c>
      <c r="C115" s="40" t="s">
        <v>40</v>
      </c>
      <c r="D115" s="40" t="s">
        <v>10</v>
      </c>
      <c r="E115" s="40" t="s">
        <v>409</v>
      </c>
      <c r="F115" s="40" t="s">
        <v>83</v>
      </c>
      <c r="G115" s="40" t="s">
        <v>16</v>
      </c>
      <c r="H115" s="40" t="s">
        <v>410</v>
      </c>
      <c r="I115" s="37" t="s">
        <v>32</v>
      </c>
      <c r="J115" t="str">
        <f>VLOOKUP(F115,'[1]BASE DE DADOS'!$A:$C,3,0)</f>
        <v>DANILO GOMES DA SILVA</v>
      </c>
    </row>
    <row r="116" spans="1:10" x14ac:dyDescent="0.25">
      <c r="A116" s="40" t="s">
        <v>411</v>
      </c>
      <c r="B116" s="41">
        <v>999881991216841</v>
      </c>
      <c r="C116" s="40" t="s">
        <v>40</v>
      </c>
      <c r="D116" s="40" t="s">
        <v>10</v>
      </c>
      <c r="E116" s="40" t="s">
        <v>412</v>
      </c>
      <c r="F116" s="40" t="s">
        <v>39</v>
      </c>
      <c r="G116" s="40" t="s">
        <v>16</v>
      </c>
      <c r="H116" s="40" t="s">
        <v>522</v>
      </c>
      <c r="I116" s="37" t="s">
        <v>32</v>
      </c>
      <c r="J116" t="str">
        <f>VLOOKUP(F116,'[1]BASE DE DADOS'!$A:$C,3,0)</f>
        <v>DANILO GOMES DA SILVA</v>
      </c>
    </row>
    <row r="117" spans="1:10" x14ac:dyDescent="0.25">
      <c r="A117" s="40" t="s">
        <v>413</v>
      </c>
      <c r="B117" s="41">
        <v>999882028862925</v>
      </c>
      <c r="C117" s="40" t="s">
        <v>40</v>
      </c>
      <c r="D117" s="40" t="s">
        <v>10</v>
      </c>
      <c r="E117" s="40" t="s">
        <v>414</v>
      </c>
      <c r="F117" s="40" t="s">
        <v>24</v>
      </c>
      <c r="G117" s="40" t="s">
        <v>16</v>
      </c>
      <c r="H117" s="40">
        <v>0</v>
      </c>
      <c r="I117" s="37" t="s">
        <v>33</v>
      </c>
      <c r="J117" t="str">
        <f>VLOOKUP(F117,'[1]BASE DE DADOS'!$A:$C,3,0)</f>
        <v>THIAGO SANTOS SILVA</v>
      </c>
    </row>
    <row r="118" spans="1:10" x14ac:dyDescent="0.25">
      <c r="A118" s="40" t="s">
        <v>415</v>
      </c>
      <c r="B118" s="41">
        <v>999882065583835</v>
      </c>
      <c r="C118" s="40" t="s">
        <v>40</v>
      </c>
      <c r="D118" s="40" t="s">
        <v>10</v>
      </c>
      <c r="E118" s="40" t="s">
        <v>416</v>
      </c>
      <c r="F118" s="40" t="s">
        <v>24</v>
      </c>
      <c r="G118" s="40" t="s">
        <v>16</v>
      </c>
      <c r="H118" s="40" t="s">
        <v>523</v>
      </c>
      <c r="I118" s="37" t="s">
        <v>32</v>
      </c>
      <c r="J118" t="str">
        <f>VLOOKUP(F118,'[1]BASE DE DADOS'!$A:$C,3,0)</f>
        <v>THIAGO SANTOS SILVA</v>
      </c>
    </row>
    <row r="119" spans="1:10" x14ac:dyDescent="0.25">
      <c r="A119" s="40" t="s">
        <v>417</v>
      </c>
      <c r="B119" s="41">
        <v>999882020487568</v>
      </c>
      <c r="C119" s="40" t="s">
        <v>40</v>
      </c>
      <c r="D119" s="40" t="s">
        <v>10</v>
      </c>
      <c r="E119" s="40" t="s">
        <v>418</v>
      </c>
      <c r="F119" s="40" t="s">
        <v>38</v>
      </c>
      <c r="G119" s="40" t="s">
        <v>16</v>
      </c>
      <c r="H119" s="40" t="s">
        <v>524</v>
      </c>
      <c r="I119" s="37" t="s">
        <v>32</v>
      </c>
      <c r="J119" t="str">
        <f>VLOOKUP(F119,'[1]BASE DE DADOS'!$A:$C,3,0)</f>
        <v>THIAGO SANTOS SILVA</v>
      </c>
    </row>
    <row r="120" spans="1:10" x14ac:dyDescent="0.25">
      <c r="A120" s="40" t="s">
        <v>419</v>
      </c>
      <c r="B120" s="41">
        <v>999882021899542</v>
      </c>
      <c r="C120" s="40" t="s">
        <v>40</v>
      </c>
      <c r="D120" s="40" t="s">
        <v>10</v>
      </c>
      <c r="E120" s="40" t="s">
        <v>420</v>
      </c>
      <c r="F120" s="40" t="s">
        <v>34</v>
      </c>
      <c r="G120" s="40" t="s">
        <v>16</v>
      </c>
      <c r="H120" s="40" t="s">
        <v>525</v>
      </c>
      <c r="I120" s="37" t="s">
        <v>32</v>
      </c>
      <c r="J120" t="str">
        <f>VLOOKUP(F120,'[1]BASE DE DADOS'!$A:$C,3,0)</f>
        <v>DANILO GOMES DA SILVA</v>
      </c>
    </row>
    <row r="121" spans="1:10" x14ac:dyDescent="0.25">
      <c r="A121" s="40" t="s">
        <v>421</v>
      </c>
      <c r="B121" s="41">
        <v>999882006747388</v>
      </c>
      <c r="C121" s="40" t="s">
        <v>40</v>
      </c>
      <c r="D121" s="40" t="s">
        <v>10</v>
      </c>
      <c r="E121" s="40" t="s">
        <v>422</v>
      </c>
      <c r="F121" s="40" t="s">
        <v>64</v>
      </c>
      <c r="G121" s="40" t="s">
        <v>16</v>
      </c>
      <c r="H121" s="40" t="s">
        <v>423</v>
      </c>
      <c r="I121" s="37" t="s">
        <v>32</v>
      </c>
      <c r="J121" t="str">
        <f>VLOOKUP(F121,'[1]BASE DE DADOS'!$A:$C,3,0)</f>
        <v>THIAGO SANTOS SILVA</v>
      </c>
    </row>
    <row r="122" spans="1:10" x14ac:dyDescent="0.25">
      <c r="A122" s="40" t="s">
        <v>424</v>
      </c>
      <c r="B122" s="41">
        <v>999882033717716</v>
      </c>
      <c r="C122" s="40" t="s">
        <v>40</v>
      </c>
      <c r="D122" s="40" t="s">
        <v>10</v>
      </c>
      <c r="E122" s="40" t="s">
        <v>425</v>
      </c>
      <c r="F122" s="40" t="s">
        <v>38</v>
      </c>
      <c r="G122" s="40" t="s">
        <v>16</v>
      </c>
      <c r="H122" s="40" t="s">
        <v>426</v>
      </c>
      <c r="I122" s="37" t="s">
        <v>32</v>
      </c>
      <c r="J122" t="str">
        <f>VLOOKUP(F122,'[1]BASE DE DADOS'!$A:$C,3,0)</f>
        <v>THIAGO SANTOS SILVA</v>
      </c>
    </row>
    <row r="123" spans="1:10" x14ac:dyDescent="0.25">
      <c r="A123" s="40" t="s">
        <v>427</v>
      </c>
      <c r="B123" s="41">
        <v>999882025543095</v>
      </c>
      <c r="C123" s="40" t="s">
        <v>40</v>
      </c>
      <c r="D123" s="40" t="s">
        <v>10</v>
      </c>
      <c r="E123" s="40" t="s">
        <v>428</v>
      </c>
      <c r="F123" s="40" t="s">
        <v>86</v>
      </c>
      <c r="G123" s="40" t="s">
        <v>16</v>
      </c>
      <c r="H123" s="40" t="s">
        <v>429</v>
      </c>
      <c r="I123" s="37" t="s">
        <v>32</v>
      </c>
      <c r="J123" t="str">
        <f>VLOOKUP(F123,'[1]BASE DE DADOS'!$A:$C,3,0)</f>
        <v>THIAGO SANTOS SILVA</v>
      </c>
    </row>
    <row r="124" spans="1:10" x14ac:dyDescent="0.25">
      <c r="A124" s="40" t="s">
        <v>430</v>
      </c>
      <c r="B124" s="41">
        <v>999882024491730</v>
      </c>
      <c r="C124" s="40" t="s">
        <v>40</v>
      </c>
      <c r="D124" s="40" t="s">
        <v>10</v>
      </c>
      <c r="E124" s="40" t="s">
        <v>431</v>
      </c>
      <c r="F124" s="40" t="s">
        <v>39</v>
      </c>
      <c r="G124" s="40" t="s">
        <v>16</v>
      </c>
      <c r="H124" s="40" t="s">
        <v>526</v>
      </c>
      <c r="I124" s="37" t="s">
        <v>32</v>
      </c>
      <c r="J124" t="str">
        <f>VLOOKUP(F124,'[1]BASE DE DADOS'!$A:$C,3,0)</f>
        <v>DANILO GOMES DA SILVA</v>
      </c>
    </row>
    <row r="125" spans="1:10" x14ac:dyDescent="0.25">
      <c r="A125" s="40" t="s">
        <v>432</v>
      </c>
      <c r="B125" s="41">
        <v>999882024606964</v>
      </c>
      <c r="C125" s="40" t="s">
        <v>40</v>
      </c>
      <c r="D125" s="40" t="s">
        <v>10</v>
      </c>
      <c r="E125" s="40" t="s">
        <v>433</v>
      </c>
      <c r="F125" s="40" t="s">
        <v>26</v>
      </c>
      <c r="G125" s="40" t="s">
        <v>16</v>
      </c>
      <c r="H125" s="40" t="s">
        <v>527</v>
      </c>
      <c r="I125" s="37" t="s">
        <v>32</v>
      </c>
      <c r="J125" t="str">
        <f>VLOOKUP(F125,'[1]BASE DE DADOS'!$A:$C,3,0)</f>
        <v>DANILO GOMES DA SILVA</v>
      </c>
    </row>
    <row r="126" spans="1:10" x14ac:dyDescent="0.25">
      <c r="A126" s="40" t="s">
        <v>434</v>
      </c>
      <c r="B126" s="41">
        <v>999881984770154</v>
      </c>
      <c r="C126" s="40" t="s">
        <v>40</v>
      </c>
      <c r="D126" s="40" t="s">
        <v>10</v>
      </c>
      <c r="E126" s="40" t="s">
        <v>435</v>
      </c>
      <c r="F126" s="40" t="s">
        <v>88</v>
      </c>
      <c r="G126" s="40" t="s">
        <v>16</v>
      </c>
      <c r="H126" s="40" t="s">
        <v>528</v>
      </c>
      <c r="I126" s="37" t="s">
        <v>32</v>
      </c>
      <c r="J126" t="e">
        <f>VLOOKUP(F126,'[1]BASE DE DADOS'!$A:$C,3,0)</f>
        <v>#N/A</v>
      </c>
    </row>
    <row r="127" spans="1:10" x14ac:dyDescent="0.25">
      <c r="A127" s="40" t="s">
        <v>436</v>
      </c>
      <c r="B127" s="41">
        <v>999881997001732</v>
      </c>
      <c r="C127" s="40" t="s">
        <v>40</v>
      </c>
      <c r="D127" s="40" t="s">
        <v>10</v>
      </c>
      <c r="E127" s="40" t="s">
        <v>437</v>
      </c>
      <c r="F127" s="40" t="s">
        <v>110</v>
      </c>
      <c r="G127" s="40" t="s">
        <v>16</v>
      </c>
      <c r="H127" s="40" t="s">
        <v>529</v>
      </c>
      <c r="I127" s="37" t="s">
        <v>32</v>
      </c>
      <c r="J127" t="str">
        <f>VLOOKUP(F127,'[1]BASE DE DADOS'!$A:$C,3,0)</f>
        <v>THIAGO SANTOS SILVA</v>
      </c>
    </row>
    <row r="128" spans="1:10" x14ac:dyDescent="0.25">
      <c r="A128" s="40" t="s">
        <v>438</v>
      </c>
      <c r="B128" s="41">
        <v>999881974497682</v>
      </c>
      <c r="C128" s="40" t="s">
        <v>40</v>
      </c>
      <c r="D128" s="40" t="s">
        <v>10</v>
      </c>
      <c r="E128" s="40" t="s">
        <v>439</v>
      </c>
      <c r="F128" s="40" t="s">
        <v>100</v>
      </c>
      <c r="G128" s="40" t="s">
        <v>16</v>
      </c>
      <c r="H128" s="40" t="s">
        <v>530</v>
      </c>
      <c r="I128" s="37" t="s">
        <v>32</v>
      </c>
      <c r="J128" t="str">
        <f>VLOOKUP(F128,'[1]BASE DE DADOS'!$A:$C,3,0)</f>
        <v>THIAGO SANTOS SILVA</v>
      </c>
    </row>
    <row r="129" spans="1:10" x14ac:dyDescent="0.25">
      <c r="A129" s="40" t="s">
        <v>440</v>
      </c>
      <c r="B129" s="41">
        <v>999882041019861</v>
      </c>
      <c r="C129" s="40" t="s">
        <v>40</v>
      </c>
      <c r="D129" s="40" t="s">
        <v>10</v>
      </c>
      <c r="E129" s="40" t="s">
        <v>441</v>
      </c>
      <c r="F129" s="40" t="s">
        <v>24</v>
      </c>
      <c r="G129" s="40" t="s">
        <v>16</v>
      </c>
      <c r="H129" s="40" t="s">
        <v>531</v>
      </c>
      <c r="I129" s="37" t="s">
        <v>32</v>
      </c>
      <c r="J129" t="str">
        <f>VLOOKUP(F129,'[1]BASE DE DADOS'!$A:$C,3,0)</f>
        <v>THIAGO SANTOS SILVA</v>
      </c>
    </row>
    <row r="130" spans="1:10" x14ac:dyDescent="0.25">
      <c r="A130" s="40" t="s">
        <v>442</v>
      </c>
      <c r="B130" s="41">
        <v>999882030410508</v>
      </c>
      <c r="C130" s="40" t="s">
        <v>40</v>
      </c>
      <c r="D130" s="40" t="s">
        <v>10</v>
      </c>
      <c r="E130" s="40" t="s">
        <v>443</v>
      </c>
      <c r="F130" s="40" t="s">
        <v>73</v>
      </c>
      <c r="G130" s="40" t="s">
        <v>16</v>
      </c>
      <c r="H130" s="40" t="s">
        <v>532</v>
      </c>
      <c r="I130" s="37" t="s">
        <v>32</v>
      </c>
      <c r="J130" t="str">
        <f>VLOOKUP(F130,'[1]BASE DE DADOS'!$A:$C,3,0)</f>
        <v>DANILO GOMES DA SILVA</v>
      </c>
    </row>
    <row r="131" spans="1:10" x14ac:dyDescent="0.25">
      <c r="A131" s="40" t="s">
        <v>444</v>
      </c>
      <c r="B131" s="41">
        <v>999882007542865</v>
      </c>
      <c r="C131" s="40" t="s">
        <v>41</v>
      </c>
      <c r="D131" s="40" t="s">
        <v>10</v>
      </c>
      <c r="E131" s="40" t="s">
        <v>445</v>
      </c>
      <c r="F131" s="40" t="s">
        <v>20</v>
      </c>
      <c r="G131" s="40" t="s">
        <v>16</v>
      </c>
      <c r="H131" s="40">
        <v>0</v>
      </c>
      <c r="I131" s="37" t="s">
        <v>33</v>
      </c>
      <c r="J131" t="str">
        <f>VLOOKUP(F131,'[1]BASE DE DADOS'!$A:$C,3,0)</f>
        <v>THIAGO SANTOS SILVA</v>
      </c>
    </row>
    <row r="132" spans="1:10" x14ac:dyDescent="0.25">
      <c r="A132" s="40" t="s">
        <v>446</v>
      </c>
      <c r="B132" s="41">
        <v>999881949140572</v>
      </c>
      <c r="C132" s="40" t="s">
        <v>40</v>
      </c>
      <c r="D132" s="40" t="s">
        <v>10</v>
      </c>
      <c r="E132" s="40" t="s">
        <v>219</v>
      </c>
      <c r="F132" s="40" t="s">
        <v>34</v>
      </c>
      <c r="G132" s="40" t="s">
        <v>16</v>
      </c>
      <c r="H132" s="40" t="s">
        <v>533</v>
      </c>
      <c r="I132" s="37" t="s">
        <v>32</v>
      </c>
      <c r="J132" t="str">
        <f>VLOOKUP(F132,'[1]BASE DE DADOS'!$A:$C,3,0)</f>
        <v>DANILO GOMES DA SILVA</v>
      </c>
    </row>
    <row r="133" spans="1:10" x14ac:dyDescent="0.25">
      <c r="A133" s="40" t="s">
        <v>447</v>
      </c>
      <c r="B133" s="41">
        <v>999881978853915</v>
      </c>
      <c r="C133" s="40" t="s">
        <v>40</v>
      </c>
      <c r="D133" s="40" t="s">
        <v>10</v>
      </c>
      <c r="E133" s="40" t="s">
        <v>448</v>
      </c>
      <c r="F133" s="40" t="s">
        <v>20</v>
      </c>
      <c r="G133" s="40" t="s">
        <v>16</v>
      </c>
      <c r="H133" s="40" t="s">
        <v>534</v>
      </c>
      <c r="I133" s="37" t="s">
        <v>32</v>
      </c>
      <c r="J133" t="str">
        <f>VLOOKUP(F133,'[1]BASE DE DADOS'!$A:$C,3,0)</f>
        <v>THIAGO SANTOS SILVA</v>
      </c>
    </row>
    <row r="134" spans="1:10" x14ac:dyDescent="0.25">
      <c r="A134" s="40" t="s">
        <v>449</v>
      </c>
      <c r="B134" s="41">
        <v>999882031001674</v>
      </c>
      <c r="C134" s="40" t="s">
        <v>40</v>
      </c>
      <c r="D134" s="40" t="s">
        <v>10</v>
      </c>
      <c r="E134" s="40" t="s">
        <v>450</v>
      </c>
      <c r="F134" s="40" t="s">
        <v>26</v>
      </c>
      <c r="G134" s="40" t="s">
        <v>16</v>
      </c>
      <c r="H134" s="40" t="s">
        <v>535</v>
      </c>
      <c r="I134" s="37" t="s">
        <v>32</v>
      </c>
      <c r="J134" t="str">
        <f>VLOOKUP(F134,'[1]BASE DE DADOS'!$A:$C,3,0)</f>
        <v>DANILO GOMES DA SILVA</v>
      </c>
    </row>
    <row r="135" spans="1:10" x14ac:dyDescent="0.25">
      <c r="A135" s="40" t="s">
        <v>451</v>
      </c>
      <c r="B135" s="41">
        <v>999882022525825</v>
      </c>
      <c r="C135" s="40" t="s">
        <v>40</v>
      </c>
      <c r="D135" s="40" t="s">
        <v>10</v>
      </c>
      <c r="E135" s="40" t="s">
        <v>452</v>
      </c>
      <c r="F135" s="40" t="s">
        <v>30</v>
      </c>
      <c r="G135" s="40" t="s">
        <v>16</v>
      </c>
      <c r="H135" s="40" t="s">
        <v>453</v>
      </c>
      <c r="I135" s="37" t="s">
        <v>32</v>
      </c>
      <c r="J135" t="str">
        <f>VLOOKUP(F135,'[1]BASE DE DADOS'!$A:$C,3,0)</f>
        <v>DANILO GOMES DA SILVA</v>
      </c>
    </row>
    <row r="136" spans="1:10" x14ac:dyDescent="0.25">
      <c r="A136" s="40" t="s">
        <v>454</v>
      </c>
      <c r="B136" s="41">
        <v>999882036302676</v>
      </c>
      <c r="C136" s="40" t="s">
        <v>40</v>
      </c>
      <c r="D136" s="40" t="s">
        <v>10</v>
      </c>
      <c r="E136" s="40" t="s">
        <v>455</v>
      </c>
      <c r="F136" s="40" t="s">
        <v>127</v>
      </c>
      <c r="G136" s="40" t="s">
        <v>16</v>
      </c>
      <c r="H136" s="40" t="s">
        <v>536</v>
      </c>
      <c r="I136" s="37" t="s">
        <v>32</v>
      </c>
      <c r="J136" t="str">
        <f>VLOOKUP(F136,'[1]BASE DE DADOS'!$A:$C,3,0)</f>
        <v>THIAGO SANTOS SILVA</v>
      </c>
    </row>
    <row r="137" spans="1:10" x14ac:dyDescent="0.25">
      <c r="A137" s="40" t="s">
        <v>456</v>
      </c>
      <c r="B137" s="41">
        <v>999882005060544</v>
      </c>
      <c r="C137" s="40" t="s">
        <v>40</v>
      </c>
      <c r="D137" s="40" t="s">
        <v>10</v>
      </c>
      <c r="E137" s="40" t="s">
        <v>457</v>
      </c>
      <c r="F137" s="40" t="s">
        <v>17</v>
      </c>
      <c r="G137" s="40" t="s">
        <v>16</v>
      </c>
      <c r="H137" s="40" t="s">
        <v>537</v>
      </c>
      <c r="I137" s="37" t="s">
        <v>32</v>
      </c>
      <c r="J137" t="str">
        <f>VLOOKUP(F137,'[1]BASE DE DADOS'!$A:$C,3,0)</f>
        <v>DANILO GOMES DA SILVA</v>
      </c>
    </row>
    <row r="138" spans="1:10" x14ac:dyDescent="0.25">
      <c r="A138" s="40" t="s">
        <v>458</v>
      </c>
      <c r="B138" s="41">
        <v>999882009654055</v>
      </c>
      <c r="C138" s="40" t="s">
        <v>40</v>
      </c>
      <c r="D138" s="40" t="s">
        <v>10</v>
      </c>
      <c r="E138" s="40" t="s">
        <v>459</v>
      </c>
      <c r="F138" s="40" t="s">
        <v>17</v>
      </c>
      <c r="G138" s="40" t="s">
        <v>16</v>
      </c>
      <c r="H138" s="40" t="s">
        <v>538</v>
      </c>
      <c r="I138" s="37" t="s">
        <v>32</v>
      </c>
      <c r="J138" t="str">
        <f>VLOOKUP(F138,'[1]BASE DE DADOS'!$A:$C,3,0)</f>
        <v>DANILO GOMES DA SILVA</v>
      </c>
    </row>
    <row r="139" spans="1:10" x14ac:dyDescent="0.25">
      <c r="A139" s="40" t="s">
        <v>460</v>
      </c>
      <c r="B139" s="41">
        <v>999882003358630</v>
      </c>
      <c r="C139" s="40" t="s">
        <v>40</v>
      </c>
      <c r="D139" s="40" t="s">
        <v>10</v>
      </c>
      <c r="E139" s="40" t="s">
        <v>461</v>
      </c>
      <c r="F139" s="40" t="s">
        <v>64</v>
      </c>
      <c r="G139" s="40" t="s">
        <v>16</v>
      </c>
      <c r="H139" s="40" t="s">
        <v>539</v>
      </c>
      <c r="I139" s="37" t="s">
        <v>32</v>
      </c>
      <c r="J139" t="str">
        <f>VLOOKUP(F139,'[1]BASE DE DADOS'!$A:$C,3,0)</f>
        <v>THIAGO SANTOS SILVA</v>
      </c>
    </row>
    <row r="140" spans="1:10" x14ac:dyDescent="0.25">
      <c r="A140" s="40" t="s">
        <v>462</v>
      </c>
      <c r="B140" s="41">
        <v>999882008478629</v>
      </c>
      <c r="C140" s="40" t="s">
        <v>40</v>
      </c>
      <c r="D140" s="40" t="s">
        <v>10</v>
      </c>
      <c r="E140" s="40" t="s">
        <v>463</v>
      </c>
      <c r="F140" s="40" t="s">
        <v>34</v>
      </c>
      <c r="G140" s="40" t="s">
        <v>16</v>
      </c>
      <c r="H140" s="40" t="s">
        <v>540</v>
      </c>
      <c r="I140" s="37" t="s">
        <v>32</v>
      </c>
      <c r="J140" t="str">
        <f>VLOOKUP(F140,'[1]BASE DE DADOS'!$A:$C,3,0)</f>
        <v>DANILO GOMES DA SILVA</v>
      </c>
    </row>
    <row r="141" spans="1:10" x14ac:dyDescent="0.25">
      <c r="A141" s="40" t="s">
        <v>464</v>
      </c>
      <c r="B141" s="41">
        <v>999881962804855</v>
      </c>
      <c r="C141" s="40" t="s">
        <v>41</v>
      </c>
      <c r="D141" s="40" t="s">
        <v>10</v>
      </c>
      <c r="E141" s="40" t="s">
        <v>465</v>
      </c>
      <c r="F141" s="40" t="s">
        <v>24</v>
      </c>
      <c r="G141" s="40" t="s">
        <v>16</v>
      </c>
      <c r="H141" s="40">
        <v>0</v>
      </c>
      <c r="I141" s="37" t="s">
        <v>33</v>
      </c>
      <c r="J141" t="str">
        <f>VLOOKUP(F141,'[1]BASE DE DADOS'!$A:$C,3,0)</f>
        <v>THIAGO SANTOS SILVA</v>
      </c>
    </row>
    <row r="142" spans="1:10" x14ac:dyDescent="0.25">
      <c r="A142" s="40" t="s">
        <v>466</v>
      </c>
      <c r="B142" s="41">
        <v>999882030691063</v>
      </c>
      <c r="C142" s="40" t="s">
        <v>40</v>
      </c>
      <c r="D142" s="40" t="s">
        <v>10</v>
      </c>
      <c r="E142" s="40" t="s">
        <v>467</v>
      </c>
      <c r="F142" s="40" t="s">
        <v>90</v>
      </c>
      <c r="G142" s="40" t="s">
        <v>16</v>
      </c>
      <c r="H142" s="40" t="s">
        <v>541</v>
      </c>
      <c r="I142" s="37" t="s">
        <v>32</v>
      </c>
      <c r="J142" t="str">
        <f>VLOOKUP(F142,'[1]BASE DE DADOS'!$A:$C,3,0)</f>
        <v>THIAGO SANTOS SILVA</v>
      </c>
    </row>
    <row r="143" spans="1:10" x14ac:dyDescent="0.25">
      <c r="A143" s="40" t="s">
        <v>468</v>
      </c>
      <c r="B143" s="41">
        <v>999882029399667</v>
      </c>
      <c r="C143" s="40" t="s">
        <v>40</v>
      </c>
      <c r="D143" s="40" t="s">
        <v>10</v>
      </c>
      <c r="E143" s="40" t="s">
        <v>469</v>
      </c>
      <c r="F143" s="40" t="s">
        <v>64</v>
      </c>
      <c r="G143" s="40" t="s">
        <v>16</v>
      </c>
      <c r="H143" s="40" t="s">
        <v>539</v>
      </c>
      <c r="I143" s="37" t="s">
        <v>32</v>
      </c>
      <c r="J143" t="str">
        <f>VLOOKUP(F143,'[1]BASE DE DADOS'!$A:$C,3,0)</f>
        <v>THIAGO SANTOS SILVA</v>
      </c>
    </row>
    <row r="144" spans="1:10" x14ac:dyDescent="0.25">
      <c r="A144" s="40" t="s">
        <v>542</v>
      </c>
      <c r="B144" s="41">
        <v>999881974495246</v>
      </c>
      <c r="C144" s="40" t="s">
        <v>40</v>
      </c>
      <c r="D144" s="40" t="s">
        <v>10</v>
      </c>
      <c r="E144" s="40" t="s">
        <v>543</v>
      </c>
      <c r="F144" s="40" t="s">
        <v>30</v>
      </c>
      <c r="G144" s="40" t="s">
        <v>16</v>
      </c>
      <c r="H144" s="40" t="s">
        <v>544</v>
      </c>
      <c r="I144" s="37" t="s">
        <v>32</v>
      </c>
      <c r="J144" t="str">
        <f>VLOOKUP(F144,'[1]BASE DE DADOS'!$A:$C,3,0)</f>
        <v>DANILO GOMES DA SILVA</v>
      </c>
    </row>
    <row r="145" spans="1:10" x14ac:dyDescent="0.25">
      <c r="A145" s="40" t="s">
        <v>545</v>
      </c>
      <c r="B145" s="41">
        <v>999881969691517</v>
      </c>
      <c r="C145" s="40" t="s">
        <v>40</v>
      </c>
      <c r="D145" s="40" t="s">
        <v>10</v>
      </c>
      <c r="E145" s="40" t="s">
        <v>546</v>
      </c>
      <c r="F145" s="40" t="s">
        <v>46</v>
      </c>
      <c r="G145" s="40" t="s">
        <v>16</v>
      </c>
      <c r="H145" s="40" t="s">
        <v>547</v>
      </c>
      <c r="I145" s="37" t="s">
        <v>32</v>
      </c>
      <c r="J145" t="str">
        <f>VLOOKUP(F145,'[1]BASE DE DADOS'!$A:$C,3,0)</f>
        <v>DANILO GOMES DA SILVA</v>
      </c>
    </row>
    <row r="146" spans="1:10" x14ac:dyDescent="0.25">
      <c r="A146" s="40" t="s">
        <v>548</v>
      </c>
      <c r="B146" s="41">
        <v>999882031373290</v>
      </c>
      <c r="C146" s="40" t="s">
        <v>40</v>
      </c>
      <c r="D146" s="40" t="s">
        <v>10</v>
      </c>
      <c r="E146" s="40" t="s">
        <v>549</v>
      </c>
      <c r="F146" s="40" t="s">
        <v>146</v>
      </c>
      <c r="G146" s="40" t="s">
        <v>16</v>
      </c>
      <c r="H146" s="40" t="s">
        <v>550</v>
      </c>
      <c r="I146" s="37" t="s">
        <v>32</v>
      </c>
      <c r="J146" t="str">
        <f>VLOOKUP(F146,'[1]BASE DE DADOS'!$A:$C,3,0)</f>
        <v>THIAGO SANTOS SILVA</v>
      </c>
    </row>
    <row r="147" spans="1:10" x14ac:dyDescent="0.25">
      <c r="A147" s="40" t="s">
        <v>551</v>
      </c>
      <c r="B147" s="41">
        <v>999881999941743</v>
      </c>
      <c r="C147" s="40" t="s">
        <v>40</v>
      </c>
      <c r="D147" s="40" t="s">
        <v>10</v>
      </c>
      <c r="E147" s="40" t="s">
        <v>552</v>
      </c>
      <c r="F147" s="40" t="s">
        <v>25</v>
      </c>
      <c r="G147" s="40" t="s">
        <v>16</v>
      </c>
      <c r="H147" s="40" t="s">
        <v>553</v>
      </c>
      <c r="I147" s="37" t="s">
        <v>32</v>
      </c>
      <c r="J147" t="str">
        <f>VLOOKUP(F147,'[1]BASE DE DADOS'!$A:$C,3,0)</f>
        <v>THIAGO SANTOS SILVA</v>
      </c>
    </row>
    <row r="148" spans="1:10" x14ac:dyDescent="0.25">
      <c r="A148" s="40" t="s">
        <v>554</v>
      </c>
      <c r="B148" s="41">
        <v>999881966283633</v>
      </c>
      <c r="C148" s="40" t="s">
        <v>41</v>
      </c>
      <c r="D148" s="40" t="s">
        <v>10</v>
      </c>
      <c r="E148" s="40" t="s">
        <v>555</v>
      </c>
      <c r="F148" s="40" t="s">
        <v>47</v>
      </c>
      <c r="G148" s="40" t="s">
        <v>16</v>
      </c>
      <c r="H148" s="40">
        <v>0</v>
      </c>
      <c r="I148" s="37" t="s">
        <v>33</v>
      </c>
      <c r="J148" t="str">
        <f>VLOOKUP(F148,'[1]BASE DE DADOS'!$A:$C,3,0)</f>
        <v>DANILO GOMES DA SILVA</v>
      </c>
    </row>
    <row r="149" spans="1:10" x14ac:dyDescent="0.25">
      <c r="A149" s="40" t="s">
        <v>556</v>
      </c>
      <c r="B149" s="41">
        <v>999881892579487</v>
      </c>
      <c r="C149" s="40" t="s">
        <v>41</v>
      </c>
      <c r="D149" s="40" t="s">
        <v>10</v>
      </c>
      <c r="E149" s="40" t="s">
        <v>557</v>
      </c>
      <c r="F149" s="40" t="s">
        <v>30</v>
      </c>
      <c r="G149" s="40" t="s">
        <v>16</v>
      </c>
      <c r="H149" s="40">
        <v>0</v>
      </c>
      <c r="I149" s="37" t="s">
        <v>33</v>
      </c>
      <c r="J149" t="str">
        <f>VLOOKUP(F149,'[1]BASE DE DADOS'!$A:$C,3,0)</f>
        <v>DANILO GOMES DA SILVA</v>
      </c>
    </row>
    <row r="150" spans="1:10" x14ac:dyDescent="0.25">
      <c r="A150" s="40" t="s">
        <v>558</v>
      </c>
      <c r="B150" s="41">
        <v>999882030695993</v>
      </c>
      <c r="C150" s="40" t="s">
        <v>40</v>
      </c>
      <c r="D150" s="40" t="s">
        <v>10</v>
      </c>
      <c r="E150" s="40" t="s">
        <v>559</v>
      </c>
      <c r="F150" s="40" t="s">
        <v>44</v>
      </c>
      <c r="G150" s="40" t="s">
        <v>16</v>
      </c>
      <c r="H150" s="40" t="s">
        <v>560</v>
      </c>
      <c r="I150" s="37" t="s">
        <v>32</v>
      </c>
      <c r="J150" t="str">
        <f>VLOOKUP(F150,'[1]BASE DE DADOS'!$A:$C,3,0)</f>
        <v>THIAGO SANTOS SILVA</v>
      </c>
    </row>
    <row r="151" spans="1:10" x14ac:dyDescent="0.25">
      <c r="A151" s="40" t="s">
        <v>561</v>
      </c>
      <c r="B151" s="41">
        <v>999881985309775</v>
      </c>
      <c r="C151" s="40" t="s">
        <v>40</v>
      </c>
      <c r="D151" s="40" t="s">
        <v>10</v>
      </c>
      <c r="E151" s="40" t="s">
        <v>562</v>
      </c>
      <c r="F151" s="40" t="s">
        <v>30</v>
      </c>
      <c r="G151" s="40" t="s">
        <v>16</v>
      </c>
      <c r="H151" s="40" t="s">
        <v>563</v>
      </c>
      <c r="I151" s="37" t="s">
        <v>32</v>
      </c>
      <c r="J151" t="str">
        <f>VLOOKUP(F151,'[1]BASE DE DADOS'!$A:$C,3,0)</f>
        <v>DANILO GOMES DA SILVA</v>
      </c>
    </row>
    <row r="152" spans="1:10" x14ac:dyDescent="0.25">
      <c r="A152" s="40" t="s">
        <v>564</v>
      </c>
      <c r="B152" s="41">
        <v>999882008420775</v>
      </c>
      <c r="C152" s="40" t="s">
        <v>40</v>
      </c>
      <c r="D152" s="40" t="s">
        <v>10</v>
      </c>
      <c r="E152" s="40" t="s">
        <v>565</v>
      </c>
      <c r="F152" s="40" t="s">
        <v>61</v>
      </c>
      <c r="G152" s="40" t="s">
        <v>16</v>
      </c>
      <c r="H152" s="40" t="s">
        <v>566</v>
      </c>
      <c r="I152" s="37" t="s">
        <v>32</v>
      </c>
      <c r="J152" t="str">
        <f>VLOOKUP(F152,'[1]BASE DE DADOS'!$A:$C,3,0)</f>
        <v>THIAGO SANTOS SILVA</v>
      </c>
    </row>
    <row r="153" spans="1:10" x14ac:dyDescent="0.25">
      <c r="A153" s="40" t="s">
        <v>567</v>
      </c>
      <c r="B153" s="41">
        <v>999881869887808</v>
      </c>
      <c r="C153" s="40" t="s">
        <v>41</v>
      </c>
      <c r="D153" s="40" t="s">
        <v>10</v>
      </c>
      <c r="E153" s="40" t="s">
        <v>568</v>
      </c>
      <c r="F153" s="40" t="s">
        <v>95</v>
      </c>
      <c r="G153" s="40" t="s">
        <v>16</v>
      </c>
      <c r="H153" s="40">
        <v>0</v>
      </c>
      <c r="I153" s="37" t="s">
        <v>33</v>
      </c>
      <c r="J153" t="str">
        <f>VLOOKUP(F153,'[1]BASE DE DADOS'!$A:$C,3,0)</f>
        <v>DANILO GOMES DA SILVA</v>
      </c>
    </row>
    <row r="154" spans="1:10" x14ac:dyDescent="0.25">
      <c r="A154" s="40" t="s">
        <v>569</v>
      </c>
      <c r="B154" s="41">
        <v>999882011734483</v>
      </c>
      <c r="C154" s="40" t="s">
        <v>40</v>
      </c>
      <c r="D154" s="40" t="s">
        <v>10</v>
      </c>
      <c r="E154" s="40" t="s">
        <v>570</v>
      </c>
      <c r="F154" s="40" t="s">
        <v>95</v>
      </c>
      <c r="G154" s="40" t="s">
        <v>16</v>
      </c>
      <c r="H154" s="40" t="s">
        <v>571</v>
      </c>
      <c r="I154" s="37" t="s">
        <v>32</v>
      </c>
      <c r="J154" t="str">
        <f>VLOOKUP(F154,'[1]BASE DE DADOS'!$A:$C,3,0)</f>
        <v>DANILO GOMES DA SILVA</v>
      </c>
    </row>
    <row r="155" spans="1:10" x14ac:dyDescent="0.25">
      <c r="A155" s="40" t="s">
        <v>572</v>
      </c>
      <c r="B155" s="41">
        <v>999881983993815</v>
      </c>
      <c r="C155" s="40" t="s">
        <v>40</v>
      </c>
      <c r="D155" s="40" t="s">
        <v>10</v>
      </c>
      <c r="E155" s="40" t="s">
        <v>573</v>
      </c>
      <c r="F155" s="40" t="s">
        <v>102</v>
      </c>
      <c r="G155" s="40" t="s">
        <v>16</v>
      </c>
      <c r="H155" s="40" t="s">
        <v>574</v>
      </c>
      <c r="I155" s="37" t="s">
        <v>32</v>
      </c>
      <c r="J155" t="str">
        <f>VLOOKUP(F155,'[1]BASE DE DADOS'!$A:$C,3,0)</f>
        <v>THIAGO SANTOS SILVA</v>
      </c>
    </row>
    <row r="156" spans="1:10" x14ac:dyDescent="0.25">
      <c r="A156" s="40" t="s">
        <v>575</v>
      </c>
      <c r="B156" s="41">
        <v>999882035161470</v>
      </c>
      <c r="C156" s="40" t="s">
        <v>41</v>
      </c>
      <c r="D156" s="40" t="s">
        <v>10</v>
      </c>
      <c r="E156" s="40" t="s">
        <v>576</v>
      </c>
      <c r="F156" s="40" t="s">
        <v>64</v>
      </c>
      <c r="G156" s="40" t="s">
        <v>16</v>
      </c>
      <c r="H156" s="40">
        <v>0</v>
      </c>
      <c r="I156" s="37" t="s">
        <v>33</v>
      </c>
      <c r="J156" t="str">
        <f>VLOOKUP(F156,'[1]BASE DE DADOS'!$A:$C,3,0)</f>
        <v>THIAGO SANTOS SILVA</v>
      </c>
    </row>
    <row r="157" spans="1:10" x14ac:dyDescent="0.25">
      <c r="A157" s="40" t="s">
        <v>577</v>
      </c>
      <c r="B157" s="41">
        <v>999882022327343</v>
      </c>
      <c r="C157" s="40" t="s">
        <v>40</v>
      </c>
      <c r="D157" s="40" t="s">
        <v>10</v>
      </c>
      <c r="E157" s="40" t="s">
        <v>578</v>
      </c>
      <c r="F157" s="40" t="s">
        <v>19</v>
      </c>
      <c r="G157" s="40" t="s">
        <v>16</v>
      </c>
      <c r="H157" s="40" t="s">
        <v>579</v>
      </c>
      <c r="I157" s="37" t="s">
        <v>32</v>
      </c>
      <c r="J157" t="str">
        <f>VLOOKUP(F157,'[1]BASE DE DADOS'!$A:$C,3,0)</f>
        <v>DANILO GOMES DA SILVA</v>
      </c>
    </row>
    <row r="158" spans="1:10" x14ac:dyDescent="0.25">
      <c r="A158" s="40" t="s">
        <v>580</v>
      </c>
      <c r="B158" s="41">
        <v>999881951675101</v>
      </c>
      <c r="C158" s="40" t="s">
        <v>41</v>
      </c>
      <c r="D158" s="40" t="s">
        <v>10</v>
      </c>
      <c r="E158" s="40" t="s">
        <v>581</v>
      </c>
      <c r="F158" s="40" t="s">
        <v>27</v>
      </c>
      <c r="G158" s="40" t="s">
        <v>16</v>
      </c>
      <c r="H158" s="40">
        <v>0</v>
      </c>
      <c r="I158" s="37" t="s">
        <v>33</v>
      </c>
      <c r="J158" t="str">
        <f>VLOOKUP(F158,'[1]BASE DE DADOS'!$A:$C,3,0)</f>
        <v>THIAGO SANTOS SILVA</v>
      </c>
    </row>
    <row r="159" spans="1:10" x14ac:dyDescent="0.25">
      <c r="A159" s="40" t="s">
        <v>582</v>
      </c>
      <c r="B159" s="41">
        <v>999881989849144</v>
      </c>
      <c r="C159" s="40" t="s">
        <v>40</v>
      </c>
      <c r="D159" s="40" t="s">
        <v>10</v>
      </c>
      <c r="E159" s="40" t="s">
        <v>583</v>
      </c>
      <c r="F159" s="40" t="s">
        <v>34</v>
      </c>
      <c r="G159" s="40" t="s">
        <v>16</v>
      </c>
      <c r="H159" s="40" t="s">
        <v>584</v>
      </c>
      <c r="I159" s="37" t="s">
        <v>32</v>
      </c>
      <c r="J159" t="str">
        <f>VLOOKUP(F159,'[1]BASE DE DADOS'!$A:$C,3,0)</f>
        <v>DANILO GOMES DA SILVA</v>
      </c>
    </row>
    <row r="160" spans="1:10" x14ac:dyDescent="0.25">
      <c r="A160" s="40" t="s">
        <v>585</v>
      </c>
      <c r="B160" s="41">
        <v>999882004718529</v>
      </c>
      <c r="C160" s="40" t="s">
        <v>41</v>
      </c>
      <c r="D160" s="40" t="s">
        <v>10</v>
      </c>
      <c r="E160" s="40" t="s">
        <v>586</v>
      </c>
      <c r="F160" s="40" t="s">
        <v>64</v>
      </c>
      <c r="G160" s="40" t="s">
        <v>16</v>
      </c>
      <c r="H160" s="40">
        <v>0</v>
      </c>
      <c r="I160" s="37" t="s">
        <v>33</v>
      </c>
      <c r="J160" t="str">
        <f>VLOOKUP(F160,'[1]BASE DE DADOS'!$A:$C,3,0)</f>
        <v>THIAGO SANTOS SILVA</v>
      </c>
    </row>
    <row r="161" spans="1:10" x14ac:dyDescent="0.25">
      <c r="A161" s="40" t="s">
        <v>587</v>
      </c>
      <c r="B161" s="41">
        <v>999882007367460</v>
      </c>
      <c r="C161" s="40" t="s">
        <v>40</v>
      </c>
      <c r="D161" s="40" t="s">
        <v>10</v>
      </c>
      <c r="E161" s="40" t="s">
        <v>588</v>
      </c>
      <c r="F161" s="40" t="s">
        <v>17</v>
      </c>
      <c r="G161" s="40" t="s">
        <v>16</v>
      </c>
      <c r="H161" s="40" t="s">
        <v>589</v>
      </c>
      <c r="I161" s="37" t="s">
        <v>32</v>
      </c>
      <c r="J161" t="str">
        <f>VLOOKUP(F161,'[1]BASE DE DADOS'!$A:$C,3,0)</f>
        <v>DANILO GOMES DA SILVA</v>
      </c>
    </row>
    <row r="162" spans="1:10" x14ac:dyDescent="0.25">
      <c r="A162" s="40" t="s">
        <v>590</v>
      </c>
      <c r="B162" s="41">
        <v>999881950553291</v>
      </c>
      <c r="C162" s="40" t="s">
        <v>40</v>
      </c>
      <c r="D162" s="40" t="s">
        <v>10</v>
      </c>
      <c r="E162" s="40" t="s">
        <v>591</v>
      </c>
      <c r="F162" s="40" t="s">
        <v>393</v>
      </c>
      <c r="G162" s="40" t="s">
        <v>16</v>
      </c>
      <c r="H162" s="40" t="s">
        <v>592</v>
      </c>
      <c r="I162" s="37" t="s">
        <v>32</v>
      </c>
      <c r="J162" t="str">
        <f>VLOOKUP(F162,'[1]BASE DE DADOS'!$A:$C,3,0)</f>
        <v>DANILO GOMES DA SILVA</v>
      </c>
    </row>
    <row r="163" spans="1:10" x14ac:dyDescent="0.25">
      <c r="A163" s="40" t="s">
        <v>593</v>
      </c>
      <c r="B163" s="41">
        <v>999882018195386</v>
      </c>
      <c r="C163" s="40" t="s">
        <v>40</v>
      </c>
      <c r="D163" s="40" t="s">
        <v>10</v>
      </c>
      <c r="E163" s="40" t="s">
        <v>594</v>
      </c>
      <c r="F163" s="40" t="s">
        <v>27</v>
      </c>
      <c r="G163" s="40" t="s">
        <v>16</v>
      </c>
      <c r="H163" s="40" t="s">
        <v>508</v>
      </c>
      <c r="I163" s="37" t="s">
        <v>32</v>
      </c>
      <c r="J163" t="str">
        <f>VLOOKUP(F163,'[1]BASE DE DADOS'!$A:$C,3,0)</f>
        <v>THIAGO SANTOS SILVA</v>
      </c>
    </row>
    <row r="164" spans="1:10" x14ac:dyDescent="0.25">
      <c r="A164" s="40" t="s">
        <v>595</v>
      </c>
      <c r="B164" s="41">
        <v>999881948911681</v>
      </c>
      <c r="C164" s="40" t="s">
        <v>40</v>
      </c>
      <c r="D164" s="40" t="s">
        <v>10</v>
      </c>
      <c r="E164" s="40" t="s">
        <v>596</v>
      </c>
      <c r="F164" s="40" t="s">
        <v>24</v>
      </c>
      <c r="G164" s="40" t="s">
        <v>16</v>
      </c>
      <c r="H164" s="40" t="s">
        <v>597</v>
      </c>
      <c r="I164" s="37" t="s">
        <v>32</v>
      </c>
      <c r="J164" t="str">
        <f>VLOOKUP(F164,'[1]BASE DE DADOS'!$A:$C,3,0)</f>
        <v>THIAGO SANTOS SILVA</v>
      </c>
    </row>
    <row r="165" spans="1:10" x14ac:dyDescent="0.25">
      <c r="A165" s="40" t="s">
        <v>598</v>
      </c>
      <c r="B165" s="41">
        <v>999882021155186</v>
      </c>
      <c r="C165" s="40" t="s">
        <v>40</v>
      </c>
      <c r="D165" s="40" t="s">
        <v>10</v>
      </c>
      <c r="E165" s="40" t="s">
        <v>599</v>
      </c>
      <c r="F165" s="40" t="s">
        <v>34</v>
      </c>
      <c r="G165" s="40" t="s">
        <v>16</v>
      </c>
      <c r="H165" s="40">
        <v>0</v>
      </c>
      <c r="I165" s="37" t="s">
        <v>33</v>
      </c>
      <c r="J165" t="str">
        <f>VLOOKUP(F165,'[1]BASE DE DADOS'!$A:$C,3,0)</f>
        <v>DANILO GOMES DA SILVA</v>
      </c>
    </row>
    <row r="166" spans="1:10" x14ac:dyDescent="0.25">
      <c r="A166" s="40" t="s">
        <v>600</v>
      </c>
      <c r="B166" s="41">
        <v>999882009020495</v>
      </c>
      <c r="C166" s="40" t="s">
        <v>40</v>
      </c>
      <c r="D166" s="40" t="s">
        <v>10</v>
      </c>
      <c r="E166" s="40" t="s">
        <v>601</v>
      </c>
      <c r="F166" s="40" t="s">
        <v>72</v>
      </c>
      <c r="G166" s="40" t="s">
        <v>16</v>
      </c>
      <c r="H166" s="40" t="s">
        <v>602</v>
      </c>
      <c r="I166" s="37" t="s">
        <v>32</v>
      </c>
      <c r="J166" t="str">
        <f>VLOOKUP(F166,'[1]BASE DE DADOS'!$A:$C,3,0)</f>
        <v>THIAGO SANTOS SILVA</v>
      </c>
    </row>
    <row r="167" spans="1:10" x14ac:dyDescent="0.25">
      <c r="A167" s="40" t="s">
        <v>603</v>
      </c>
      <c r="B167" s="41">
        <v>999882016639389</v>
      </c>
      <c r="C167" s="40" t="s">
        <v>40</v>
      </c>
      <c r="D167" s="40" t="s">
        <v>10</v>
      </c>
      <c r="E167" s="40" t="s">
        <v>604</v>
      </c>
      <c r="F167" s="40" t="s">
        <v>118</v>
      </c>
      <c r="G167" s="40" t="s">
        <v>16</v>
      </c>
      <c r="H167" s="40">
        <v>0</v>
      </c>
      <c r="I167" s="37" t="s">
        <v>33</v>
      </c>
      <c r="J167" t="str">
        <f>VLOOKUP(F167,'[1]BASE DE DADOS'!$A:$C,3,0)</f>
        <v>DANILO GOMES DA SILVA</v>
      </c>
    </row>
    <row r="168" spans="1:10" x14ac:dyDescent="0.25">
      <c r="A168" s="40" t="s">
        <v>605</v>
      </c>
      <c r="B168" s="41">
        <v>999882014897832</v>
      </c>
      <c r="C168" s="40" t="s">
        <v>41</v>
      </c>
      <c r="D168" s="40" t="s">
        <v>10</v>
      </c>
      <c r="E168" s="40" t="s">
        <v>606</v>
      </c>
      <c r="F168" s="40" t="s">
        <v>25</v>
      </c>
      <c r="G168" s="40" t="s">
        <v>16</v>
      </c>
      <c r="H168" s="40">
        <v>0</v>
      </c>
      <c r="I168" s="37" t="s">
        <v>33</v>
      </c>
      <c r="J168" t="str">
        <f>VLOOKUP(F168,'[1]BASE DE DADOS'!$A:$C,3,0)</f>
        <v>THIAGO SANTOS SILVA</v>
      </c>
    </row>
    <row r="169" spans="1:10" x14ac:dyDescent="0.25">
      <c r="A169" s="40" t="s">
        <v>607</v>
      </c>
      <c r="B169" s="41">
        <v>999881962522384</v>
      </c>
      <c r="C169" s="40" t="s">
        <v>41</v>
      </c>
      <c r="D169" s="40" t="s">
        <v>10</v>
      </c>
      <c r="E169" s="40" t="s">
        <v>608</v>
      </c>
      <c r="F169" s="40" t="s">
        <v>139</v>
      </c>
      <c r="G169" s="40" t="s">
        <v>16</v>
      </c>
      <c r="H169" s="40">
        <v>0</v>
      </c>
      <c r="I169" s="37" t="s">
        <v>33</v>
      </c>
      <c r="J169" t="str">
        <f>VLOOKUP(F169,'[1]BASE DE DADOS'!$A:$C,3,0)</f>
        <v>THIAGO SANTOS SILVA</v>
      </c>
    </row>
    <row r="170" spans="1:10" x14ac:dyDescent="0.25">
      <c r="A170" s="40" t="s">
        <v>609</v>
      </c>
      <c r="B170" s="41">
        <v>999882031874811</v>
      </c>
      <c r="C170" s="40" t="s">
        <v>40</v>
      </c>
      <c r="D170" s="40" t="s">
        <v>10</v>
      </c>
      <c r="E170" s="40" t="s">
        <v>610</v>
      </c>
      <c r="F170" s="40" t="s">
        <v>100</v>
      </c>
      <c r="G170" s="40" t="s">
        <v>16</v>
      </c>
      <c r="H170" s="40">
        <v>0</v>
      </c>
      <c r="I170" s="37" t="s">
        <v>33</v>
      </c>
      <c r="J170" t="str">
        <f>VLOOKUP(F170,'[1]BASE DE DADOS'!$A:$C,3,0)</f>
        <v>THIAGO SANTOS SILVA</v>
      </c>
    </row>
    <row r="171" spans="1:10" x14ac:dyDescent="0.25">
      <c r="A171" s="40" t="s">
        <v>611</v>
      </c>
      <c r="B171" s="41">
        <v>999881991217017</v>
      </c>
      <c r="C171" s="40" t="s">
        <v>40</v>
      </c>
      <c r="D171" s="40" t="s">
        <v>10</v>
      </c>
      <c r="E171" s="40" t="s">
        <v>612</v>
      </c>
      <c r="F171" s="40" t="s">
        <v>24</v>
      </c>
      <c r="G171" s="40" t="s">
        <v>16</v>
      </c>
      <c r="H171" s="40" t="s">
        <v>613</v>
      </c>
      <c r="I171" s="37" t="s">
        <v>32</v>
      </c>
      <c r="J171" t="str">
        <f>VLOOKUP(F171,'[1]BASE DE DADOS'!$A:$C,3,0)</f>
        <v>THIAGO SANTOS SILVA</v>
      </c>
    </row>
    <row r="172" spans="1:10" x14ac:dyDescent="0.25">
      <c r="A172" s="40" t="s">
        <v>614</v>
      </c>
      <c r="B172" s="41">
        <v>999881939034363</v>
      </c>
      <c r="C172" s="40" t="s">
        <v>41</v>
      </c>
      <c r="D172" s="40" t="s">
        <v>10</v>
      </c>
      <c r="E172" s="40" t="s">
        <v>615</v>
      </c>
      <c r="F172" s="40" t="s">
        <v>22</v>
      </c>
      <c r="G172" s="40" t="s">
        <v>16</v>
      </c>
      <c r="H172" s="40">
        <v>0</v>
      </c>
      <c r="I172" s="37" t="s">
        <v>33</v>
      </c>
      <c r="J172" t="str">
        <f>VLOOKUP(F172,'[1]BASE DE DADOS'!$A:$C,3,0)</f>
        <v>DANILO GOMES DA SILVA</v>
      </c>
    </row>
    <row r="173" spans="1:10" x14ac:dyDescent="0.25">
      <c r="A173" s="40" t="s">
        <v>616</v>
      </c>
      <c r="B173" s="41">
        <v>999882036598136</v>
      </c>
      <c r="C173" s="40" t="s">
        <v>40</v>
      </c>
      <c r="D173" s="40" t="s">
        <v>10</v>
      </c>
      <c r="E173" s="40" t="s">
        <v>617</v>
      </c>
      <c r="F173" s="40" t="s">
        <v>28</v>
      </c>
      <c r="G173" s="40" t="s">
        <v>16</v>
      </c>
      <c r="H173" s="40" t="s">
        <v>618</v>
      </c>
      <c r="I173" s="37" t="s">
        <v>32</v>
      </c>
      <c r="J173" t="str">
        <f>VLOOKUP(F173,'[1]BASE DE DADOS'!$A:$C,3,0)</f>
        <v>DANILO GOMES DA SILVA</v>
      </c>
    </row>
    <row r="174" spans="1:10" x14ac:dyDescent="0.25">
      <c r="A174" s="40" t="s">
        <v>619</v>
      </c>
      <c r="B174" s="41">
        <v>999882006207414</v>
      </c>
      <c r="C174" s="40" t="s">
        <v>40</v>
      </c>
      <c r="D174" s="40" t="s">
        <v>10</v>
      </c>
      <c r="E174" s="40" t="s">
        <v>620</v>
      </c>
      <c r="F174" s="40" t="s">
        <v>110</v>
      </c>
      <c r="G174" s="40" t="s">
        <v>16</v>
      </c>
      <c r="H174" s="40" t="s">
        <v>621</v>
      </c>
      <c r="I174" s="37" t="s">
        <v>32</v>
      </c>
      <c r="J174" t="str">
        <f>VLOOKUP(F174,'[1]BASE DE DADOS'!$A:$C,3,0)</f>
        <v>THIAGO SANTOS SILVA</v>
      </c>
    </row>
    <row r="175" spans="1:10" x14ac:dyDescent="0.25">
      <c r="A175" s="40" t="s">
        <v>622</v>
      </c>
      <c r="B175" s="41">
        <v>999881993351254</v>
      </c>
      <c r="C175" s="40" t="s">
        <v>41</v>
      </c>
      <c r="D175" s="40" t="s">
        <v>10</v>
      </c>
      <c r="E175" s="40" t="s">
        <v>623</v>
      </c>
      <c r="F175" s="40" t="s">
        <v>64</v>
      </c>
      <c r="G175" s="40" t="s">
        <v>16</v>
      </c>
      <c r="H175" s="40">
        <v>0</v>
      </c>
      <c r="I175" s="37" t="s">
        <v>33</v>
      </c>
      <c r="J175" t="str">
        <f>VLOOKUP(F175,'[1]BASE DE DADOS'!$A:$C,3,0)</f>
        <v>THIAGO SANTOS SILVA</v>
      </c>
    </row>
    <row r="176" spans="1:10" x14ac:dyDescent="0.25">
      <c r="A176" s="40" t="s">
        <v>624</v>
      </c>
      <c r="B176" s="41">
        <v>999882030062522</v>
      </c>
      <c r="C176" s="40" t="s">
        <v>40</v>
      </c>
      <c r="D176" s="40" t="s">
        <v>10</v>
      </c>
      <c r="E176" s="40" t="s">
        <v>625</v>
      </c>
      <c r="F176" s="40" t="s">
        <v>92</v>
      </c>
      <c r="G176" s="40" t="s">
        <v>16</v>
      </c>
      <c r="H176" s="40" t="s">
        <v>626</v>
      </c>
      <c r="I176" s="37" t="s">
        <v>32</v>
      </c>
      <c r="J176" t="str">
        <f>VLOOKUP(F176,'[1]BASE DE DADOS'!$A:$C,3,0)</f>
        <v>THIAGO SANTOS SILVA</v>
      </c>
    </row>
    <row r="177" spans="1:10" x14ac:dyDescent="0.25">
      <c r="A177" s="40" t="s">
        <v>627</v>
      </c>
      <c r="B177" s="41">
        <v>999881998358288</v>
      </c>
      <c r="C177" s="40" t="s">
        <v>40</v>
      </c>
      <c r="D177" s="40" t="s">
        <v>10</v>
      </c>
      <c r="E177" s="40" t="s">
        <v>628</v>
      </c>
      <c r="F177" s="40" t="s">
        <v>34</v>
      </c>
      <c r="G177" s="40" t="s">
        <v>16</v>
      </c>
      <c r="H177" s="40">
        <v>0</v>
      </c>
      <c r="I177" s="37" t="s">
        <v>33</v>
      </c>
      <c r="J177" t="str">
        <f>VLOOKUP(F177,'[1]BASE DE DADOS'!$A:$C,3,0)</f>
        <v>DANILO GOMES DA SILVA</v>
      </c>
    </row>
    <row r="178" spans="1:10" x14ac:dyDescent="0.25">
      <c r="A178" s="40" t="s">
        <v>629</v>
      </c>
      <c r="B178" s="41">
        <v>999881946314315</v>
      </c>
      <c r="C178" s="40" t="s">
        <v>41</v>
      </c>
      <c r="D178" s="40" t="s">
        <v>10</v>
      </c>
      <c r="E178" s="40" t="s">
        <v>630</v>
      </c>
      <c r="F178" s="40" t="s">
        <v>38</v>
      </c>
      <c r="G178" s="40" t="s">
        <v>16</v>
      </c>
      <c r="H178" s="40">
        <v>0</v>
      </c>
      <c r="I178" s="37" t="s">
        <v>33</v>
      </c>
      <c r="J178" t="str">
        <f>VLOOKUP(F178,'[1]BASE DE DADOS'!$A:$C,3,0)</f>
        <v>THIAGO SANTOS SILVA</v>
      </c>
    </row>
    <row r="179" spans="1:10" x14ac:dyDescent="0.25">
      <c r="A179" s="40" t="s">
        <v>631</v>
      </c>
      <c r="B179" s="41">
        <v>999881948444028</v>
      </c>
      <c r="C179" s="40" t="s">
        <v>40</v>
      </c>
      <c r="D179" s="40" t="s">
        <v>10</v>
      </c>
      <c r="E179" s="40" t="s">
        <v>632</v>
      </c>
      <c r="F179" s="40" t="s">
        <v>68</v>
      </c>
      <c r="G179" s="40" t="s">
        <v>16</v>
      </c>
      <c r="H179" s="40" t="s">
        <v>633</v>
      </c>
      <c r="I179" s="37" t="s">
        <v>32</v>
      </c>
      <c r="J179" t="str">
        <f>VLOOKUP(F179,'[1]BASE DE DADOS'!$A:$C,3,0)</f>
        <v>THIAGO SANTOS SILVA</v>
      </c>
    </row>
    <row r="180" spans="1:10" x14ac:dyDescent="0.25">
      <c r="A180" s="40" t="s">
        <v>634</v>
      </c>
      <c r="B180" s="41">
        <v>999882009267933</v>
      </c>
      <c r="C180" s="40" t="s">
        <v>41</v>
      </c>
      <c r="D180" s="40" t="s">
        <v>10</v>
      </c>
      <c r="E180" s="40" t="s">
        <v>635</v>
      </c>
      <c r="F180" s="40" t="s">
        <v>26</v>
      </c>
      <c r="G180" s="40" t="s">
        <v>16</v>
      </c>
      <c r="H180" s="40">
        <v>0</v>
      </c>
      <c r="I180" s="37" t="s">
        <v>33</v>
      </c>
      <c r="J180" t="str">
        <f>VLOOKUP(F180,'[1]BASE DE DADOS'!$A:$C,3,0)</f>
        <v>DANILO GOMES DA SILVA</v>
      </c>
    </row>
    <row r="181" spans="1:10" x14ac:dyDescent="0.25">
      <c r="A181" s="40" t="s">
        <v>636</v>
      </c>
      <c r="B181" s="41">
        <v>999882016277515</v>
      </c>
      <c r="C181" s="40" t="s">
        <v>40</v>
      </c>
      <c r="D181" s="40" t="s">
        <v>10</v>
      </c>
      <c r="E181" s="40" t="s">
        <v>637</v>
      </c>
      <c r="F181" s="40" t="s">
        <v>61</v>
      </c>
      <c r="G181" s="40" t="s">
        <v>16</v>
      </c>
      <c r="H181" s="40" t="s">
        <v>638</v>
      </c>
      <c r="I181" s="37" t="s">
        <v>32</v>
      </c>
      <c r="J181" t="str">
        <f>VLOOKUP(F181,'[1]BASE DE DADOS'!$A:$C,3,0)</f>
        <v>THIAGO SANTOS SILVA</v>
      </c>
    </row>
    <row r="182" spans="1:10" x14ac:dyDescent="0.25">
      <c r="A182" s="40" t="s">
        <v>639</v>
      </c>
      <c r="B182" s="41">
        <v>999882030921895</v>
      </c>
      <c r="C182" s="40" t="s">
        <v>41</v>
      </c>
      <c r="D182" s="40" t="s">
        <v>10</v>
      </c>
      <c r="E182" s="40" t="s">
        <v>640</v>
      </c>
      <c r="F182" s="40" t="s">
        <v>38</v>
      </c>
      <c r="G182" s="40" t="s">
        <v>16</v>
      </c>
      <c r="H182" s="40">
        <v>0</v>
      </c>
      <c r="I182" s="37" t="s">
        <v>33</v>
      </c>
      <c r="J182" t="str">
        <f>VLOOKUP(F182,'[1]BASE DE DADOS'!$A:$C,3,0)</f>
        <v>THIAGO SANTOS SILVA</v>
      </c>
    </row>
    <row r="183" spans="1:10" x14ac:dyDescent="0.25">
      <c r="A183" s="40" t="s">
        <v>641</v>
      </c>
      <c r="B183" s="41">
        <v>999882015322825</v>
      </c>
      <c r="C183" s="40" t="s">
        <v>40</v>
      </c>
      <c r="D183" s="40" t="s">
        <v>10</v>
      </c>
      <c r="E183" s="40" t="s">
        <v>642</v>
      </c>
      <c r="F183" s="40" t="s">
        <v>61</v>
      </c>
      <c r="G183" s="40" t="s">
        <v>16</v>
      </c>
      <c r="H183" s="40" t="s">
        <v>638</v>
      </c>
      <c r="I183" s="37" t="s">
        <v>32</v>
      </c>
      <c r="J183" t="str">
        <f>VLOOKUP(F183,'[1]BASE DE DADOS'!$A:$C,3,0)</f>
        <v>THIAGO SANTOS SILVA</v>
      </c>
    </row>
    <row r="184" spans="1:10" x14ac:dyDescent="0.25">
      <c r="A184" s="40" t="s">
        <v>643</v>
      </c>
      <c r="B184" s="41">
        <v>999882024348821</v>
      </c>
      <c r="C184" s="40" t="s">
        <v>40</v>
      </c>
      <c r="D184" s="40" t="s">
        <v>10</v>
      </c>
      <c r="E184" s="40" t="s">
        <v>644</v>
      </c>
      <c r="F184" s="40" t="s">
        <v>61</v>
      </c>
      <c r="G184" s="40" t="s">
        <v>16</v>
      </c>
      <c r="H184" s="40" t="s">
        <v>638</v>
      </c>
      <c r="I184" s="37" t="s">
        <v>32</v>
      </c>
      <c r="J184" t="str">
        <f>VLOOKUP(F184,'[1]BASE DE DADOS'!$A:$C,3,0)</f>
        <v>THIAGO SANTOS SILVA</v>
      </c>
    </row>
    <row r="185" spans="1:10" x14ac:dyDescent="0.25">
      <c r="A185" s="40" t="s">
        <v>645</v>
      </c>
      <c r="B185" s="41">
        <v>999881952531745</v>
      </c>
      <c r="C185" s="40" t="s">
        <v>40</v>
      </c>
      <c r="D185" s="40" t="s">
        <v>10</v>
      </c>
      <c r="E185" s="40" t="s">
        <v>646</v>
      </c>
      <c r="F185" s="40" t="s">
        <v>39</v>
      </c>
      <c r="G185" s="40" t="s">
        <v>16</v>
      </c>
      <c r="H185" s="40">
        <v>0</v>
      </c>
      <c r="I185" s="37" t="s">
        <v>33</v>
      </c>
      <c r="J185" t="str">
        <f>VLOOKUP(F185,'[1]BASE DE DADOS'!$A:$C,3,0)</f>
        <v>DANILO GOMES DA SILVA</v>
      </c>
    </row>
    <row r="186" spans="1:10" x14ac:dyDescent="0.25">
      <c r="A186" s="40" t="s">
        <v>647</v>
      </c>
      <c r="B186" s="41">
        <v>999882026980947</v>
      </c>
      <c r="C186" s="40" t="s">
        <v>41</v>
      </c>
      <c r="D186" s="40" t="s">
        <v>10</v>
      </c>
      <c r="E186" s="40" t="s">
        <v>648</v>
      </c>
      <c r="F186" s="40" t="s">
        <v>38</v>
      </c>
      <c r="G186" s="40" t="s">
        <v>16</v>
      </c>
      <c r="H186" s="40">
        <v>0</v>
      </c>
      <c r="I186" s="37" t="s">
        <v>33</v>
      </c>
      <c r="J186" t="str">
        <f>VLOOKUP(F186,'[1]BASE DE DADOS'!$A:$C,3,0)</f>
        <v>THIAGO SANTOS SILVA</v>
      </c>
    </row>
    <row r="187" spans="1:10" x14ac:dyDescent="0.25">
      <c r="A187" s="40" t="s">
        <v>649</v>
      </c>
      <c r="B187" s="41">
        <v>999881994839195</v>
      </c>
      <c r="C187" s="40" t="s">
        <v>40</v>
      </c>
      <c r="D187" s="40" t="s">
        <v>10</v>
      </c>
      <c r="E187" s="40" t="s">
        <v>650</v>
      </c>
      <c r="F187" s="40" t="s">
        <v>39</v>
      </c>
      <c r="G187" s="40" t="s">
        <v>16</v>
      </c>
      <c r="H187" s="40" t="s">
        <v>651</v>
      </c>
      <c r="I187" s="37" t="s">
        <v>32</v>
      </c>
      <c r="J187" t="str">
        <f>VLOOKUP(F187,'[1]BASE DE DADOS'!$A:$C,3,0)</f>
        <v>DANILO GOMES DA SILVA</v>
      </c>
    </row>
    <row r="188" spans="1:10" x14ac:dyDescent="0.25">
      <c r="A188" s="40" t="s">
        <v>652</v>
      </c>
      <c r="B188" s="41">
        <v>999882025285706</v>
      </c>
      <c r="C188" s="40" t="s">
        <v>40</v>
      </c>
      <c r="D188" s="40" t="s">
        <v>10</v>
      </c>
      <c r="E188" s="40" t="s">
        <v>653</v>
      </c>
      <c r="F188" s="40" t="s">
        <v>44</v>
      </c>
      <c r="G188" s="40" t="s">
        <v>16</v>
      </c>
      <c r="H188" s="40" t="s">
        <v>478</v>
      </c>
      <c r="I188" s="37" t="s">
        <v>32</v>
      </c>
      <c r="J188" t="str">
        <f>VLOOKUP(F188,'[1]BASE DE DADOS'!$A:$C,3,0)</f>
        <v>THIAGO SANTOS SILVA</v>
      </c>
    </row>
    <row r="189" spans="1:10" x14ac:dyDescent="0.25">
      <c r="A189" s="40" t="s">
        <v>654</v>
      </c>
      <c r="B189" s="41">
        <v>999882008050035</v>
      </c>
      <c r="C189" s="40" t="s">
        <v>40</v>
      </c>
      <c r="D189" s="40" t="s">
        <v>10</v>
      </c>
      <c r="E189" s="40" t="s">
        <v>655</v>
      </c>
      <c r="F189" s="40" t="s">
        <v>23</v>
      </c>
      <c r="G189" s="40" t="s">
        <v>16</v>
      </c>
      <c r="H189" s="40" t="s">
        <v>656</v>
      </c>
      <c r="I189" s="37" t="s">
        <v>32</v>
      </c>
      <c r="J189" t="str">
        <f>VLOOKUP(F189,'[1]BASE DE DADOS'!$A:$C,3,0)</f>
        <v>DANILO GOMES DA SILVA</v>
      </c>
    </row>
    <row r="190" spans="1:10" x14ac:dyDescent="0.25">
      <c r="A190" s="40" t="s">
        <v>657</v>
      </c>
      <c r="B190" s="41">
        <v>999881945421790</v>
      </c>
      <c r="C190" s="40" t="s">
        <v>40</v>
      </c>
      <c r="D190" s="40" t="s">
        <v>10</v>
      </c>
      <c r="E190" s="40" t="s">
        <v>658</v>
      </c>
      <c r="F190" s="40" t="s">
        <v>39</v>
      </c>
      <c r="G190" s="40" t="s">
        <v>16</v>
      </c>
      <c r="H190" s="40" t="s">
        <v>659</v>
      </c>
      <c r="I190" s="37" t="s">
        <v>32</v>
      </c>
      <c r="J190" t="str">
        <f>VLOOKUP(F190,'[1]BASE DE DADOS'!$A:$C,3,0)</f>
        <v>DANILO GOMES DA SILVA</v>
      </c>
    </row>
    <row r="191" spans="1:10" x14ac:dyDescent="0.25">
      <c r="A191" s="40" t="s">
        <v>660</v>
      </c>
      <c r="B191" s="41">
        <v>999881924206365</v>
      </c>
      <c r="C191" s="40" t="s">
        <v>41</v>
      </c>
      <c r="D191" s="40" t="s">
        <v>10</v>
      </c>
      <c r="E191" s="40" t="s">
        <v>661</v>
      </c>
      <c r="F191" s="40" t="s">
        <v>17</v>
      </c>
      <c r="G191" s="40" t="s">
        <v>16</v>
      </c>
      <c r="H191" s="40">
        <v>0</v>
      </c>
      <c r="I191" s="37" t="s">
        <v>33</v>
      </c>
      <c r="J191" t="str">
        <f>VLOOKUP(F191,'[1]BASE DE DADOS'!$A:$C,3,0)</f>
        <v>DANILO GOMES DA SILVA</v>
      </c>
    </row>
    <row r="192" spans="1:10" x14ac:dyDescent="0.25">
      <c r="A192" s="40" t="s">
        <v>662</v>
      </c>
      <c r="B192" s="41">
        <v>999881953839334</v>
      </c>
      <c r="C192" s="40" t="s">
        <v>40</v>
      </c>
      <c r="D192" s="40" t="s">
        <v>10</v>
      </c>
      <c r="E192" s="40" t="s">
        <v>663</v>
      </c>
      <c r="F192" s="40" t="s">
        <v>18</v>
      </c>
      <c r="G192" s="40" t="s">
        <v>16</v>
      </c>
      <c r="H192" s="40">
        <v>0</v>
      </c>
      <c r="I192" s="37" t="s">
        <v>33</v>
      </c>
      <c r="J192" t="str">
        <f>VLOOKUP(F192,'[1]BASE DE DADOS'!$A:$C,3,0)</f>
        <v>DANILO GOMES DA SILVA</v>
      </c>
    </row>
    <row r="193" spans="1:10" x14ac:dyDescent="0.25">
      <c r="A193" s="40" t="s">
        <v>664</v>
      </c>
      <c r="B193" s="41">
        <v>999881981985791</v>
      </c>
      <c r="C193" s="40" t="s">
        <v>40</v>
      </c>
      <c r="D193" s="40" t="s">
        <v>10</v>
      </c>
      <c r="E193" s="40" t="s">
        <v>665</v>
      </c>
      <c r="F193" s="40" t="s">
        <v>24</v>
      </c>
      <c r="G193" s="40" t="s">
        <v>16</v>
      </c>
      <c r="H193" s="40">
        <v>0</v>
      </c>
      <c r="I193" s="37" t="s">
        <v>33</v>
      </c>
      <c r="J193" t="str">
        <f>VLOOKUP(F193,'[1]BASE DE DADOS'!$A:$C,3,0)</f>
        <v>THIAGO SANTOS SILVA</v>
      </c>
    </row>
    <row r="194" spans="1:10" x14ac:dyDescent="0.25">
      <c r="A194" s="40" t="s">
        <v>666</v>
      </c>
      <c r="B194" s="41">
        <v>999882034045799</v>
      </c>
      <c r="C194" s="40" t="s">
        <v>40</v>
      </c>
      <c r="D194" s="40" t="s">
        <v>10</v>
      </c>
      <c r="E194" s="40" t="s">
        <v>667</v>
      </c>
      <c r="F194" s="40" t="s">
        <v>34</v>
      </c>
      <c r="G194" s="40" t="s">
        <v>16</v>
      </c>
      <c r="H194" s="40">
        <v>0</v>
      </c>
      <c r="I194" s="37" t="s">
        <v>33</v>
      </c>
      <c r="J194" t="str">
        <f>VLOOKUP(F194,'[1]BASE DE DADOS'!$A:$C,3,0)</f>
        <v>DANILO GOMES DA SILVA</v>
      </c>
    </row>
    <row r="195" spans="1:10" x14ac:dyDescent="0.25">
      <c r="A195" s="40" t="s">
        <v>668</v>
      </c>
      <c r="B195" s="41">
        <v>999882030895351</v>
      </c>
      <c r="C195" s="40" t="s">
        <v>41</v>
      </c>
      <c r="D195" s="40" t="s">
        <v>10</v>
      </c>
      <c r="E195" s="40" t="s">
        <v>669</v>
      </c>
      <c r="F195" s="40" t="s">
        <v>110</v>
      </c>
      <c r="G195" s="40" t="s">
        <v>16</v>
      </c>
      <c r="H195" s="40">
        <v>0</v>
      </c>
      <c r="I195" s="37" t="s">
        <v>33</v>
      </c>
      <c r="J195" t="str">
        <f>VLOOKUP(F195,'[1]BASE DE DADOS'!$A:$C,3,0)</f>
        <v>THIAGO SANTOS SILVA</v>
      </c>
    </row>
    <row r="196" spans="1:10" x14ac:dyDescent="0.25">
      <c r="A196" s="40" t="s">
        <v>670</v>
      </c>
      <c r="B196" s="41">
        <v>999882024847625</v>
      </c>
      <c r="C196" s="40" t="s">
        <v>40</v>
      </c>
      <c r="D196" s="40" t="s">
        <v>10</v>
      </c>
      <c r="E196" s="40" t="s">
        <v>671</v>
      </c>
      <c r="F196" s="40" t="s">
        <v>39</v>
      </c>
      <c r="G196" s="40" t="s">
        <v>16</v>
      </c>
      <c r="H196" s="40" t="s">
        <v>672</v>
      </c>
      <c r="I196" s="37" t="s">
        <v>32</v>
      </c>
      <c r="J196" t="str">
        <f>VLOOKUP(F196,'[1]BASE DE DADOS'!$A:$C,3,0)</f>
        <v>DANILO GOMES DA SILVA</v>
      </c>
    </row>
    <row r="197" spans="1:10" x14ac:dyDescent="0.25">
      <c r="A197" s="40" t="s">
        <v>673</v>
      </c>
      <c r="B197" s="41">
        <v>999882001454312</v>
      </c>
      <c r="C197" s="40" t="s">
        <v>41</v>
      </c>
      <c r="D197" s="40" t="s">
        <v>10</v>
      </c>
      <c r="E197" s="40" t="s">
        <v>674</v>
      </c>
      <c r="F197" s="40" t="s">
        <v>24</v>
      </c>
      <c r="G197" s="40" t="s">
        <v>16</v>
      </c>
      <c r="H197" s="40">
        <v>0</v>
      </c>
      <c r="I197" s="37" t="s">
        <v>33</v>
      </c>
      <c r="J197" t="str">
        <f>VLOOKUP(F197,'[1]BASE DE DADOS'!$A:$C,3,0)</f>
        <v>THIAGO SANTOS SILVA</v>
      </c>
    </row>
    <row r="198" spans="1:10" x14ac:dyDescent="0.25">
      <c r="A198" s="40" t="s">
        <v>675</v>
      </c>
      <c r="B198" s="41">
        <v>999882022898092</v>
      </c>
      <c r="C198" s="40" t="s">
        <v>40</v>
      </c>
      <c r="D198" s="40" t="s">
        <v>10</v>
      </c>
      <c r="E198" s="40" t="s">
        <v>676</v>
      </c>
      <c r="F198" s="40" t="s">
        <v>86</v>
      </c>
      <c r="G198" s="40" t="s">
        <v>16</v>
      </c>
      <c r="H198" s="40" t="s">
        <v>677</v>
      </c>
      <c r="I198" s="37" t="s">
        <v>32</v>
      </c>
      <c r="J198" t="str">
        <f>VLOOKUP(F198,'[1]BASE DE DADOS'!$A:$C,3,0)</f>
        <v>THIAGO SANTOS SILVA</v>
      </c>
    </row>
    <row r="199" spans="1:10" x14ac:dyDescent="0.25">
      <c r="A199" s="40" t="s">
        <v>678</v>
      </c>
      <c r="B199" s="41">
        <v>999882026710069</v>
      </c>
      <c r="C199" s="40" t="s">
        <v>40</v>
      </c>
      <c r="D199" s="40" t="s">
        <v>10</v>
      </c>
      <c r="E199" s="40" t="s">
        <v>679</v>
      </c>
      <c r="F199" s="40" t="s">
        <v>67</v>
      </c>
      <c r="G199" s="40" t="s">
        <v>16</v>
      </c>
      <c r="H199" s="40" t="s">
        <v>680</v>
      </c>
      <c r="I199" s="37" t="s">
        <v>32</v>
      </c>
      <c r="J199" t="str">
        <f>VLOOKUP(F199,'[1]BASE DE DADOS'!$A:$C,3,0)</f>
        <v>THIAGO SANTOS SILVA</v>
      </c>
    </row>
    <row r="200" spans="1:10" x14ac:dyDescent="0.25">
      <c r="A200" s="40" t="s">
        <v>681</v>
      </c>
      <c r="B200" s="41">
        <v>999882016020695</v>
      </c>
      <c r="C200" s="40" t="s">
        <v>41</v>
      </c>
      <c r="D200" s="40" t="s">
        <v>10</v>
      </c>
      <c r="E200" s="40" t="s">
        <v>682</v>
      </c>
      <c r="F200" s="40" t="s">
        <v>24</v>
      </c>
      <c r="G200" s="40" t="s">
        <v>16</v>
      </c>
      <c r="H200" s="40" t="s">
        <v>898</v>
      </c>
      <c r="I200" s="37" t="s">
        <v>32</v>
      </c>
      <c r="J200" t="str">
        <f>VLOOKUP(F200,'[1]BASE DE DADOS'!$A:$C,3,0)</f>
        <v>THIAGO SANTOS SILVA</v>
      </c>
    </row>
    <row r="201" spans="1:10" x14ac:dyDescent="0.25">
      <c r="A201" s="40" t="s">
        <v>683</v>
      </c>
      <c r="B201" s="41">
        <v>999882000779960</v>
      </c>
      <c r="C201" s="40" t="s">
        <v>40</v>
      </c>
      <c r="D201" s="40" t="s">
        <v>10</v>
      </c>
      <c r="E201" s="40" t="s">
        <v>684</v>
      </c>
      <c r="F201" s="40" t="s">
        <v>38</v>
      </c>
      <c r="G201" s="40" t="s">
        <v>16</v>
      </c>
      <c r="H201" s="40" t="s">
        <v>685</v>
      </c>
      <c r="I201" s="37" t="s">
        <v>32</v>
      </c>
      <c r="J201" t="str">
        <f>VLOOKUP(F201,'[1]BASE DE DADOS'!$A:$C,3,0)</f>
        <v>THIAGO SANTOS SILVA</v>
      </c>
    </row>
    <row r="202" spans="1:10" x14ac:dyDescent="0.25">
      <c r="A202" s="40" t="s">
        <v>686</v>
      </c>
      <c r="B202" s="41">
        <v>999882040468303</v>
      </c>
      <c r="C202" s="40" t="s">
        <v>40</v>
      </c>
      <c r="D202" s="40" t="s">
        <v>10</v>
      </c>
      <c r="E202" s="40" t="s">
        <v>687</v>
      </c>
      <c r="F202" s="40" t="s">
        <v>100</v>
      </c>
      <c r="G202" s="40" t="s">
        <v>16</v>
      </c>
      <c r="H202" s="40" t="s">
        <v>688</v>
      </c>
      <c r="I202" s="37" t="s">
        <v>32</v>
      </c>
      <c r="J202" t="str">
        <f>VLOOKUP(F202,'[1]BASE DE DADOS'!$A:$C,3,0)</f>
        <v>THIAGO SANTOS SILVA</v>
      </c>
    </row>
    <row r="203" spans="1:10" x14ac:dyDescent="0.25">
      <c r="A203" s="40" t="s">
        <v>689</v>
      </c>
      <c r="B203" s="41">
        <v>999882020142938</v>
      </c>
      <c r="C203" s="40" t="s">
        <v>40</v>
      </c>
      <c r="D203" s="40" t="s">
        <v>10</v>
      </c>
      <c r="E203" s="40" t="s">
        <v>690</v>
      </c>
      <c r="F203" s="40" t="s">
        <v>25</v>
      </c>
      <c r="G203" s="40" t="s">
        <v>16</v>
      </c>
      <c r="H203" s="40" t="s">
        <v>691</v>
      </c>
      <c r="I203" s="37" t="s">
        <v>32</v>
      </c>
      <c r="J203" t="str">
        <f>VLOOKUP(F203,'[1]BASE DE DADOS'!$A:$C,3,0)</f>
        <v>THIAGO SANTOS SILVA</v>
      </c>
    </row>
    <row r="204" spans="1:10" x14ac:dyDescent="0.25">
      <c r="A204" s="40" t="s">
        <v>692</v>
      </c>
      <c r="B204" s="41">
        <v>999882020436429</v>
      </c>
      <c r="C204" s="40" t="s">
        <v>40</v>
      </c>
      <c r="D204" s="40" t="s">
        <v>10</v>
      </c>
      <c r="E204" s="40" t="s">
        <v>693</v>
      </c>
      <c r="F204" s="40" t="s">
        <v>26</v>
      </c>
      <c r="G204" s="40" t="s">
        <v>16</v>
      </c>
      <c r="H204" s="40" t="s">
        <v>694</v>
      </c>
      <c r="I204" s="37" t="s">
        <v>32</v>
      </c>
      <c r="J204" t="str">
        <f>VLOOKUP(F204,'[1]BASE DE DADOS'!$A:$C,3,0)</f>
        <v>DANILO GOMES DA SILVA</v>
      </c>
    </row>
    <row r="205" spans="1:10" x14ac:dyDescent="0.25">
      <c r="A205" s="40" t="s">
        <v>695</v>
      </c>
      <c r="B205" s="41">
        <v>999882021121805</v>
      </c>
      <c r="C205" s="40" t="s">
        <v>40</v>
      </c>
      <c r="D205" s="40" t="s">
        <v>10</v>
      </c>
      <c r="E205" s="40" t="s">
        <v>696</v>
      </c>
      <c r="F205" s="40" t="s">
        <v>24</v>
      </c>
      <c r="G205" s="40" t="s">
        <v>16</v>
      </c>
      <c r="H205" s="40">
        <v>0</v>
      </c>
      <c r="I205" s="37" t="s">
        <v>33</v>
      </c>
      <c r="J205" t="str">
        <f>VLOOKUP(F205,'[1]BASE DE DADOS'!$A:$C,3,0)</f>
        <v>THIAGO SANTOS SILVA</v>
      </c>
    </row>
    <row r="206" spans="1:10" x14ac:dyDescent="0.25">
      <c r="A206" s="40" t="s">
        <v>697</v>
      </c>
      <c r="B206" s="41">
        <v>999882058835233</v>
      </c>
      <c r="C206" s="40" t="s">
        <v>40</v>
      </c>
      <c r="D206" s="40" t="s">
        <v>10</v>
      </c>
      <c r="E206" s="40" t="s">
        <v>698</v>
      </c>
      <c r="F206" s="40" t="s">
        <v>24</v>
      </c>
      <c r="G206" s="40" t="s">
        <v>16</v>
      </c>
      <c r="H206" s="40">
        <v>0</v>
      </c>
      <c r="I206" s="37" t="s">
        <v>33</v>
      </c>
      <c r="J206" t="str">
        <f>VLOOKUP(F206,'[1]BASE DE DADOS'!$A:$C,3,0)</f>
        <v>THIAGO SANTOS SILVA</v>
      </c>
    </row>
    <row r="207" spans="1:10" x14ac:dyDescent="0.25">
      <c r="A207" s="40" t="s">
        <v>699</v>
      </c>
      <c r="B207" s="41">
        <v>999882043967622</v>
      </c>
      <c r="C207" s="40" t="s">
        <v>40</v>
      </c>
      <c r="D207" s="40" t="s">
        <v>10</v>
      </c>
      <c r="E207" s="40" t="s">
        <v>700</v>
      </c>
      <c r="F207" s="40" t="s">
        <v>146</v>
      </c>
      <c r="G207" s="40" t="s">
        <v>16</v>
      </c>
      <c r="H207" s="40" t="s">
        <v>701</v>
      </c>
      <c r="I207" s="37" t="s">
        <v>32</v>
      </c>
      <c r="J207" t="str">
        <f>VLOOKUP(F207,'[1]BASE DE DADOS'!$A:$C,3,0)</f>
        <v>THIAGO SANTOS SILVA</v>
      </c>
    </row>
    <row r="208" spans="1:10" x14ac:dyDescent="0.25">
      <c r="A208" s="40" t="s">
        <v>702</v>
      </c>
      <c r="B208" s="41">
        <v>999882031836638</v>
      </c>
      <c r="C208" s="40" t="s">
        <v>40</v>
      </c>
      <c r="D208" s="40" t="s">
        <v>10</v>
      </c>
      <c r="E208" s="40" t="s">
        <v>703</v>
      </c>
      <c r="F208" s="40" t="s">
        <v>38</v>
      </c>
      <c r="G208" s="40" t="s">
        <v>16</v>
      </c>
      <c r="H208" s="40" t="s">
        <v>704</v>
      </c>
      <c r="I208" s="37" t="s">
        <v>32</v>
      </c>
      <c r="J208" t="str">
        <f>VLOOKUP(F208,'[1]BASE DE DADOS'!$A:$C,3,0)</f>
        <v>THIAGO SANTOS SILVA</v>
      </c>
    </row>
    <row r="209" spans="1:10" x14ac:dyDescent="0.25">
      <c r="A209" s="40" t="s">
        <v>705</v>
      </c>
      <c r="B209" s="41">
        <v>999882036851523</v>
      </c>
      <c r="C209" s="40" t="s">
        <v>40</v>
      </c>
      <c r="D209" s="40" t="s">
        <v>10</v>
      </c>
      <c r="E209" s="40" t="s">
        <v>706</v>
      </c>
      <c r="F209" s="40" t="s">
        <v>28</v>
      </c>
      <c r="G209" s="40" t="s">
        <v>16</v>
      </c>
      <c r="H209" s="40" t="s">
        <v>707</v>
      </c>
      <c r="I209" s="37" t="s">
        <v>32</v>
      </c>
      <c r="J209" t="str">
        <f>VLOOKUP(F209,'[1]BASE DE DADOS'!$A:$C,3,0)</f>
        <v>DANILO GOMES DA SILVA</v>
      </c>
    </row>
    <row r="210" spans="1:10" x14ac:dyDescent="0.25">
      <c r="A210" s="40" t="s">
        <v>708</v>
      </c>
      <c r="B210" s="41">
        <v>999881978983395</v>
      </c>
      <c r="C210" s="40" t="s">
        <v>41</v>
      </c>
      <c r="D210" s="40" t="s">
        <v>10</v>
      </c>
      <c r="E210" s="40" t="s">
        <v>709</v>
      </c>
      <c r="F210" s="40" t="s">
        <v>27</v>
      </c>
      <c r="G210" s="40" t="s">
        <v>16</v>
      </c>
      <c r="H210" s="40">
        <v>0</v>
      </c>
      <c r="I210" s="37" t="s">
        <v>33</v>
      </c>
      <c r="J210" t="str">
        <f>VLOOKUP(F210,'[1]BASE DE DADOS'!$A:$C,3,0)</f>
        <v>THIAGO SANTOS SILVA</v>
      </c>
    </row>
    <row r="211" spans="1:10" x14ac:dyDescent="0.25">
      <c r="A211" s="40" t="s">
        <v>710</v>
      </c>
      <c r="B211" s="41">
        <v>999882033474696</v>
      </c>
      <c r="C211" s="40" t="s">
        <v>40</v>
      </c>
      <c r="D211" s="40" t="s">
        <v>10</v>
      </c>
      <c r="E211" s="40" t="s">
        <v>711</v>
      </c>
      <c r="F211" s="40" t="s">
        <v>69</v>
      </c>
      <c r="G211" s="40" t="s">
        <v>16</v>
      </c>
      <c r="H211" s="40" t="s">
        <v>712</v>
      </c>
      <c r="I211" s="37" t="s">
        <v>32</v>
      </c>
      <c r="J211" t="str">
        <f>VLOOKUP(F211,'[1]BASE DE DADOS'!$A:$C,3,0)</f>
        <v>THIAGO SANTOS SILVA</v>
      </c>
    </row>
    <row r="212" spans="1:10" x14ac:dyDescent="0.25">
      <c r="A212" s="40" t="s">
        <v>713</v>
      </c>
      <c r="B212" s="41">
        <v>999881988486414</v>
      </c>
      <c r="C212" s="40" t="s">
        <v>41</v>
      </c>
      <c r="D212" s="40" t="s">
        <v>10</v>
      </c>
      <c r="E212" s="40" t="s">
        <v>714</v>
      </c>
      <c r="F212" s="40" t="s">
        <v>38</v>
      </c>
      <c r="G212" s="40" t="s">
        <v>16</v>
      </c>
      <c r="H212" s="40">
        <v>0</v>
      </c>
      <c r="I212" s="37" t="s">
        <v>33</v>
      </c>
      <c r="J212" t="str">
        <f>VLOOKUP(F212,'[1]BASE DE DADOS'!$A:$C,3,0)</f>
        <v>THIAGO SANTOS SILVA</v>
      </c>
    </row>
    <row r="213" spans="1:10" x14ac:dyDescent="0.25">
      <c r="A213" s="40" t="s">
        <v>715</v>
      </c>
      <c r="B213" s="41">
        <v>999882015712625</v>
      </c>
      <c r="C213" s="40" t="s">
        <v>40</v>
      </c>
      <c r="D213" s="40" t="s">
        <v>10</v>
      </c>
      <c r="E213" s="40" t="s">
        <v>716</v>
      </c>
      <c r="F213" s="40" t="s">
        <v>24</v>
      </c>
      <c r="G213" s="40" t="s">
        <v>16</v>
      </c>
      <c r="H213" s="40" t="s">
        <v>899</v>
      </c>
      <c r="I213" s="37" t="s">
        <v>32</v>
      </c>
      <c r="J213" t="str">
        <f>VLOOKUP(F213,'[1]BASE DE DADOS'!$A:$C,3,0)</f>
        <v>THIAGO SANTOS SILVA</v>
      </c>
    </row>
    <row r="214" spans="1:10" x14ac:dyDescent="0.25">
      <c r="A214" s="40" t="s">
        <v>717</v>
      </c>
      <c r="B214" s="41">
        <v>999882030655459</v>
      </c>
      <c r="C214" s="40" t="s">
        <v>41</v>
      </c>
      <c r="D214" s="40" t="s">
        <v>10</v>
      </c>
      <c r="E214" s="40" t="s">
        <v>718</v>
      </c>
      <c r="F214" s="40" t="s">
        <v>24</v>
      </c>
      <c r="G214" s="40" t="s">
        <v>16</v>
      </c>
      <c r="H214" s="40" t="s">
        <v>899</v>
      </c>
      <c r="I214" s="37" t="s">
        <v>32</v>
      </c>
      <c r="J214" t="str">
        <f>VLOOKUP(F214,'[1]BASE DE DADOS'!$A:$C,3,0)</f>
        <v>THIAGO SANTOS SILVA</v>
      </c>
    </row>
    <row r="215" spans="1:10" x14ac:dyDescent="0.25">
      <c r="A215" s="40" t="s">
        <v>719</v>
      </c>
      <c r="B215" s="41">
        <v>999881929529307</v>
      </c>
      <c r="C215" s="40" t="s">
        <v>41</v>
      </c>
      <c r="D215" s="40" t="s">
        <v>10</v>
      </c>
      <c r="E215" s="40" t="s">
        <v>720</v>
      </c>
      <c r="F215" s="40" t="s">
        <v>139</v>
      </c>
      <c r="G215" s="40" t="s">
        <v>16</v>
      </c>
      <c r="H215" s="40">
        <v>0</v>
      </c>
      <c r="I215" s="37" t="s">
        <v>33</v>
      </c>
      <c r="J215" t="str">
        <f>VLOOKUP(F215,'[1]BASE DE DADOS'!$A:$C,3,0)</f>
        <v>THIAGO SANTOS SILVA</v>
      </c>
    </row>
    <row r="216" spans="1:10" x14ac:dyDescent="0.25">
      <c r="A216" s="40" t="s">
        <v>721</v>
      </c>
      <c r="B216" s="41">
        <v>999881991832375</v>
      </c>
      <c r="C216" s="40" t="s">
        <v>40</v>
      </c>
      <c r="D216" s="40" t="s">
        <v>10</v>
      </c>
      <c r="E216" s="40" t="s">
        <v>722</v>
      </c>
      <c r="F216" s="40" t="s">
        <v>38</v>
      </c>
      <c r="G216" s="40" t="s">
        <v>16</v>
      </c>
      <c r="H216" s="40" t="s">
        <v>723</v>
      </c>
      <c r="I216" s="37" t="s">
        <v>32</v>
      </c>
      <c r="J216" t="str">
        <f>VLOOKUP(F216,'[1]BASE DE DADOS'!$A:$C,3,0)</f>
        <v>THIAGO SANTOS SILVA</v>
      </c>
    </row>
    <row r="217" spans="1:10" x14ac:dyDescent="0.25">
      <c r="A217" s="40" t="s">
        <v>724</v>
      </c>
      <c r="B217" s="41">
        <v>999881994836731</v>
      </c>
      <c r="C217" s="40" t="s">
        <v>40</v>
      </c>
      <c r="D217" s="40" t="s">
        <v>10</v>
      </c>
      <c r="E217" s="40" t="s">
        <v>725</v>
      </c>
      <c r="F217" s="40" t="s">
        <v>127</v>
      </c>
      <c r="G217" s="40" t="s">
        <v>16</v>
      </c>
      <c r="H217" s="40">
        <v>0</v>
      </c>
      <c r="I217" s="37" t="s">
        <v>33</v>
      </c>
      <c r="J217" t="str">
        <f>VLOOKUP(F217,'[1]BASE DE DADOS'!$A:$C,3,0)</f>
        <v>THIAGO SANTOS SILVA</v>
      </c>
    </row>
    <row r="218" spans="1:10" x14ac:dyDescent="0.25">
      <c r="A218" s="40" t="s">
        <v>726</v>
      </c>
      <c r="B218" s="41">
        <v>999882002970872</v>
      </c>
      <c r="C218" s="40" t="s">
        <v>40</v>
      </c>
      <c r="D218" s="40" t="s">
        <v>10</v>
      </c>
      <c r="E218" s="40" t="s">
        <v>727</v>
      </c>
      <c r="F218" s="40" t="s">
        <v>38</v>
      </c>
      <c r="G218" s="40" t="s">
        <v>16</v>
      </c>
      <c r="H218" s="40" t="s">
        <v>728</v>
      </c>
      <c r="I218" s="37" t="s">
        <v>32</v>
      </c>
      <c r="J218" t="str">
        <f>VLOOKUP(F218,'[1]BASE DE DADOS'!$A:$C,3,0)</f>
        <v>THIAGO SANTOS SILVA</v>
      </c>
    </row>
    <row r="219" spans="1:10" x14ac:dyDescent="0.25">
      <c r="A219" s="40" t="s">
        <v>729</v>
      </c>
      <c r="B219" s="41">
        <v>999881957400749</v>
      </c>
      <c r="C219" s="40" t="s">
        <v>40</v>
      </c>
      <c r="D219" s="40" t="s">
        <v>10</v>
      </c>
      <c r="E219" s="40" t="s">
        <v>730</v>
      </c>
      <c r="F219" s="40" t="s">
        <v>39</v>
      </c>
      <c r="G219" s="40" t="s">
        <v>16</v>
      </c>
      <c r="H219" s="40" t="s">
        <v>731</v>
      </c>
      <c r="I219" s="37" t="s">
        <v>32</v>
      </c>
      <c r="J219" t="str">
        <f>VLOOKUP(F219,'[1]BASE DE DADOS'!$A:$C,3,0)</f>
        <v>DANILO GOMES DA SILVA</v>
      </c>
    </row>
    <row r="220" spans="1:10" x14ac:dyDescent="0.25">
      <c r="A220" s="40" t="s">
        <v>732</v>
      </c>
      <c r="B220" s="41">
        <v>999881974135569</v>
      </c>
      <c r="C220" s="40" t="s">
        <v>40</v>
      </c>
      <c r="D220" s="40" t="s">
        <v>10</v>
      </c>
      <c r="E220" s="40" t="s">
        <v>733</v>
      </c>
      <c r="F220" s="40" t="s">
        <v>101</v>
      </c>
      <c r="G220" s="40" t="s">
        <v>16</v>
      </c>
      <c r="H220" s="40" t="s">
        <v>734</v>
      </c>
      <c r="I220" s="37" t="s">
        <v>32</v>
      </c>
      <c r="J220" t="str">
        <f>VLOOKUP(F220,'[1]BASE DE DADOS'!$A:$C,3,0)</f>
        <v>DANILO GOMES DA SILVA</v>
      </c>
    </row>
    <row r="221" spans="1:10" x14ac:dyDescent="0.25">
      <c r="A221" s="40" t="s">
        <v>735</v>
      </c>
      <c r="B221" s="41">
        <v>999882006504293</v>
      </c>
      <c r="C221" s="40" t="s">
        <v>40</v>
      </c>
      <c r="D221" s="40" t="s">
        <v>10</v>
      </c>
      <c r="E221" s="40" t="s">
        <v>736</v>
      </c>
      <c r="F221" s="40" t="s">
        <v>39</v>
      </c>
      <c r="G221" s="40" t="s">
        <v>16</v>
      </c>
      <c r="H221" s="40" t="s">
        <v>737</v>
      </c>
      <c r="I221" s="37" t="s">
        <v>32</v>
      </c>
      <c r="J221" t="str">
        <f>VLOOKUP(F221,'[1]BASE DE DADOS'!$A:$C,3,0)</f>
        <v>DANILO GOMES DA SILVA</v>
      </c>
    </row>
    <row r="222" spans="1:10" x14ac:dyDescent="0.25">
      <c r="A222" s="40" t="s">
        <v>738</v>
      </c>
      <c r="B222" s="41">
        <v>999882007221415</v>
      </c>
      <c r="C222" s="40" t="s">
        <v>40</v>
      </c>
      <c r="D222" s="40" t="s">
        <v>10</v>
      </c>
      <c r="E222" s="40" t="s">
        <v>739</v>
      </c>
      <c r="F222" s="40" t="s">
        <v>34</v>
      </c>
      <c r="G222" s="40" t="s">
        <v>16</v>
      </c>
      <c r="H222" s="40">
        <v>0</v>
      </c>
      <c r="I222" s="37" t="s">
        <v>33</v>
      </c>
      <c r="J222" t="str">
        <f>VLOOKUP(F222,'[1]BASE DE DADOS'!$A:$C,3,0)</f>
        <v>DANILO GOMES DA SILVA</v>
      </c>
    </row>
    <row r="223" spans="1:10" x14ac:dyDescent="0.25">
      <c r="A223" s="40" t="s">
        <v>740</v>
      </c>
      <c r="B223" s="41">
        <v>999881965098074</v>
      </c>
      <c r="C223" s="40" t="s">
        <v>40</v>
      </c>
      <c r="D223" s="40" t="s">
        <v>10</v>
      </c>
      <c r="E223" s="40" t="s">
        <v>741</v>
      </c>
      <c r="F223" s="40" t="s">
        <v>35</v>
      </c>
      <c r="G223" s="40" t="s">
        <v>16</v>
      </c>
      <c r="H223" s="40" t="s">
        <v>742</v>
      </c>
      <c r="I223" s="37" t="s">
        <v>32</v>
      </c>
      <c r="J223" t="str">
        <f>VLOOKUP(F223,'[1]BASE DE DADOS'!$A:$C,3,0)</f>
        <v>DANILO GOMES DA SILVA</v>
      </c>
    </row>
    <row r="224" spans="1:10" x14ac:dyDescent="0.25">
      <c r="A224" s="40" t="s">
        <v>743</v>
      </c>
      <c r="B224" s="41">
        <v>999882018016703</v>
      </c>
      <c r="C224" s="40" t="s">
        <v>40</v>
      </c>
      <c r="D224" s="40" t="s">
        <v>10</v>
      </c>
      <c r="E224" s="40" t="s">
        <v>744</v>
      </c>
      <c r="F224" s="40" t="s">
        <v>15</v>
      </c>
      <c r="G224" s="40" t="s">
        <v>16</v>
      </c>
      <c r="H224" s="40" t="s">
        <v>745</v>
      </c>
      <c r="I224" s="37" t="s">
        <v>32</v>
      </c>
      <c r="J224" t="str">
        <f>VLOOKUP(F224,'[1]BASE DE DADOS'!$A:$C,3,0)</f>
        <v>DANILO GOMES DA SILVA</v>
      </c>
    </row>
    <row r="225" spans="1:10" x14ac:dyDescent="0.25">
      <c r="A225" s="40" t="s">
        <v>746</v>
      </c>
      <c r="B225" s="41">
        <v>999882025726740</v>
      </c>
      <c r="C225" s="40" t="s">
        <v>40</v>
      </c>
      <c r="D225" s="40" t="s">
        <v>10</v>
      </c>
      <c r="E225" s="40" t="s">
        <v>747</v>
      </c>
      <c r="F225" s="40" t="s">
        <v>38</v>
      </c>
      <c r="G225" s="40" t="s">
        <v>16</v>
      </c>
      <c r="H225" s="40" t="s">
        <v>748</v>
      </c>
      <c r="I225" s="37" t="s">
        <v>32</v>
      </c>
      <c r="J225" t="str">
        <f>VLOOKUP(F225,'[1]BASE DE DADOS'!$A:$C,3,0)</f>
        <v>THIAGO SANTOS SILVA</v>
      </c>
    </row>
    <row r="226" spans="1:10" x14ac:dyDescent="0.25">
      <c r="A226" s="40" t="s">
        <v>749</v>
      </c>
      <c r="B226" s="41">
        <v>999881970573237</v>
      </c>
      <c r="C226" s="40" t="s">
        <v>40</v>
      </c>
      <c r="D226" s="40" t="s">
        <v>10</v>
      </c>
      <c r="E226" s="40" t="s">
        <v>750</v>
      </c>
      <c r="F226" s="40" t="s">
        <v>34</v>
      </c>
      <c r="G226" s="40" t="s">
        <v>16</v>
      </c>
      <c r="H226" s="40">
        <v>0</v>
      </c>
      <c r="I226" s="37" t="s">
        <v>33</v>
      </c>
      <c r="J226" t="str">
        <f>VLOOKUP(F226,'[1]BASE DE DADOS'!$A:$C,3,0)</f>
        <v>DANILO GOMES DA SILVA</v>
      </c>
    </row>
    <row r="227" spans="1:10" x14ac:dyDescent="0.25">
      <c r="A227" s="40" t="s">
        <v>751</v>
      </c>
      <c r="B227" s="41">
        <v>999882018733182</v>
      </c>
      <c r="C227" s="40" t="s">
        <v>41</v>
      </c>
      <c r="D227" s="40" t="s">
        <v>10</v>
      </c>
      <c r="E227" s="40" t="s">
        <v>752</v>
      </c>
      <c r="F227" s="40" t="s">
        <v>27</v>
      </c>
      <c r="G227" s="40" t="s">
        <v>16</v>
      </c>
      <c r="H227" s="40">
        <v>0</v>
      </c>
      <c r="I227" s="37" t="s">
        <v>33</v>
      </c>
      <c r="J227" t="str">
        <f>VLOOKUP(F227,'[1]BASE DE DADOS'!$A:$C,3,0)</f>
        <v>THIAGO SANTOS SILVA</v>
      </c>
    </row>
    <row r="228" spans="1:10" x14ac:dyDescent="0.25">
      <c r="A228" s="40" t="s">
        <v>753</v>
      </c>
      <c r="B228" s="41">
        <v>999882027451116</v>
      </c>
      <c r="C228" s="40" t="s">
        <v>40</v>
      </c>
      <c r="D228" s="40" t="s">
        <v>10</v>
      </c>
      <c r="E228" s="40" t="s">
        <v>754</v>
      </c>
      <c r="F228" s="40" t="s">
        <v>39</v>
      </c>
      <c r="G228" s="40" t="s">
        <v>16</v>
      </c>
      <c r="H228" s="40" t="s">
        <v>755</v>
      </c>
      <c r="I228" s="37" t="s">
        <v>32</v>
      </c>
      <c r="J228" t="str">
        <f>VLOOKUP(F228,'[1]BASE DE DADOS'!$A:$C,3,0)</f>
        <v>DANILO GOMES DA SILVA</v>
      </c>
    </row>
    <row r="229" spans="1:10" x14ac:dyDescent="0.25">
      <c r="A229" s="40" t="s">
        <v>756</v>
      </c>
      <c r="B229" s="41">
        <v>999882028975275</v>
      </c>
      <c r="C229" s="40" t="s">
        <v>40</v>
      </c>
      <c r="D229" s="40" t="s">
        <v>10</v>
      </c>
      <c r="E229" s="40" t="s">
        <v>757</v>
      </c>
      <c r="F229" s="40" t="s">
        <v>39</v>
      </c>
      <c r="G229" s="40" t="s">
        <v>16</v>
      </c>
      <c r="H229" s="40" t="s">
        <v>755</v>
      </c>
      <c r="I229" s="37" t="s">
        <v>32</v>
      </c>
      <c r="J229" t="str">
        <f>VLOOKUP(F229,'[1]BASE DE DADOS'!$A:$C,3,0)</f>
        <v>DANILO GOMES DA SILVA</v>
      </c>
    </row>
    <row r="230" spans="1:10" x14ac:dyDescent="0.25">
      <c r="A230" s="40" t="s">
        <v>758</v>
      </c>
      <c r="B230" s="41">
        <v>999881994978540</v>
      </c>
      <c r="C230" s="40" t="s">
        <v>41</v>
      </c>
      <c r="D230" s="40" t="s">
        <v>10</v>
      </c>
      <c r="E230" s="40" t="s">
        <v>759</v>
      </c>
      <c r="F230" s="40" t="s">
        <v>15</v>
      </c>
      <c r="G230" s="40" t="s">
        <v>16</v>
      </c>
      <c r="H230" s="40">
        <v>0</v>
      </c>
      <c r="I230" s="37" t="s">
        <v>33</v>
      </c>
      <c r="J230" t="str">
        <f>VLOOKUP(F230,'[1]BASE DE DADOS'!$A:$C,3,0)</f>
        <v>DANILO GOMES DA SILVA</v>
      </c>
    </row>
    <row r="231" spans="1:10" x14ac:dyDescent="0.25">
      <c r="A231" s="40" t="s">
        <v>760</v>
      </c>
      <c r="B231" s="41">
        <v>999882030155639</v>
      </c>
      <c r="C231" s="40" t="s">
        <v>40</v>
      </c>
      <c r="D231" s="40" t="s">
        <v>10</v>
      </c>
      <c r="E231" s="40" t="s">
        <v>761</v>
      </c>
      <c r="F231" s="40" t="s">
        <v>61</v>
      </c>
      <c r="G231" s="40" t="s">
        <v>16</v>
      </c>
      <c r="H231" s="40" t="s">
        <v>762</v>
      </c>
      <c r="I231" s="37" t="s">
        <v>32</v>
      </c>
      <c r="J231" t="str">
        <f>VLOOKUP(F231,'[1]BASE DE DADOS'!$A:$C,3,0)</f>
        <v>THIAGO SANTOS SILVA</v>
      </c>
    </row>
    <row r="232" spans="1:10" x14ac:dyDescent="0.25">
      <c r="A232" s="40" t="s">
        <v>763</v>
      </c>
      <c r="B232" s="41">
        <v>999881994367678</v>
      </c>
      <c r="C232" s="40" t="s">
        <v>40</v>
      </c>
      <c r="D232" s="40" t="s">
        <v>10</v>
      </c>
      <c r="E232" s="40" t="s">
        <v>764</v>
      </c>
      <c r="F232" s="40" t="s">
        <v>17</v>
      </c>
      <c r="G232" s="40" t="s">
        <v>16</v>
      </c>
      <c r="H232" s="40" t="s">
        <v>765</v>
      </c>
      <c r="I232" s="37" t="s">
        <v>32</v>
      </c>
      <c r="J232" t="str">
        <f>VLOOKUP(F232,'[1]BASE DE DADOS'!$A:$C,3,0)</f>
        <v>DANILO GOMES DA SILVA</v>
      </c>
    </row>
    <row r="233" spans="1:10" x14ac:dyDescent="0.25">
      <c r="A233" s="40" t="s">
        <v>766</v>
      </c>
      <c r="B233" s="41">
        <v>999882000838274</v>
      </c>
      <c r="C233" s="40" t="s">
        <v>40</v>
      </c>
      <c r="D233" s="40" t="s">
        <v>10</v>
      </c>
      <c r="E233" s="40" t="s">
        <v>767</v>
      </c>
      <c r="F233" s="40" t="s">
        <v>137</v>
      </c>
      <c r="G233" s="40" t="s">
        <v>16</v>
      </c>
      <c r="H233" s="40" t="s">
        <v>768</v>
      </c>
      <c r="I233" s="37" t="s">
        <v>32</v>
      </c>
      <c r="J233" t="str">
        <f>VLOOKUP(F233,'[1]BASE DE DADOS'!$A:$C,3,0)</f>
        <v>THIAGO SANTOS SILVA</v>
      </c>
    </row>
    <row r="234" spans="1:10" x14ac:dyDescent="0.25">
      <c r="A234" s="40" t="s">
        <v>769</v>
      </c>
      <c r="B234" s="41">
        <v>999881942677196</v>
      </c>
      <c r="C234" s="40" t="s">
        <v>40</v>
      </c>
      <c r="D234" s="40" t="s">
        <v>10</v>
      </c>
      <c r="E234" s="40" t="s">
        <v>621</v>
      </c>
      <c r="F234" s="40" t="s">
        <v>64</v>
      </c>
      <c r="G234" s="40" t="s">
        <v>16</v>
      </c>
      <c r="H234" s="40">
        <v>0</v>
      </c>
      <c r="I234" s="37" t="s">
        <v>33</v>
      </c>
      <c r="J234" t="str">
        <f>VLOOKUP(F234,'[1]BASE DE DADOS'!$A:$C,3,0)</f>
        <v>THIAGO SANTOS SILVA</v>
      </c>
    </row>
    <row r="235" spans="1:10" x14ac:dyDescent="0.25">
      <c r="A235" s="40" t="s">
        <v>770</v>
      </c>
      <c r="B235" s="41">
        <v>999881955582957</v>
      </c>
      <c r="C235" s="40" t="s">
        <v>40</v>
      </c>
      <c r="D235" s="40" t="s">
        <v>10</v>
      </c>
      <c r="E235" s="40" t="s">
        <v>771</v>
      </c>
      <c r="F235" s="40" t="s">
        <v>39</v>
      </c>
      <c r="G235" s="40" t="s">
        <v>16</v>
      </c>
      <c r="H235" s="40" t="s">
        <v>772</v>
      </c>
      <c r="I235" s="37" t="s">
        <v>32</v>
      </c>
      <c r="J235" t="str">
        <f>VLOOKUP(F235,'[1]BASE DE DADOS'!$A:$C,3,0)</f>
        <v>DANILO GOMES DA SILVA</v>
      </c>
    </row>
    <row r="236" spans="1:10" x14ac:dyDescent="0.25">
      <c r="A236" s="40" t="s">
        <v>773</v>
      </c>
      <c r="B236" s="41">
        <v>999881946283245</v>
      </c>
      <c r="C236" s="40" t="s">
        <v>40</v>
      </c>
      <c r="D236" s="40" t="s">
        <v>10</v>
      </c>
      <c r="E236" s="40" t="s">
        <v>774</v>
      </c>
      <c r="F236" s="40" t="s">
        <v>71</v>
      </c>
      <c r="G236" s="40" t="s">
        <v>16</v>
      </c>
      <c r="H236" s="40">
        <v>0</v>
      </c>
      <c r="I236" s="37" t="s">
        <v>33</v>
      </c>
      <c r="J236" t="str">
        <f>VLOOKUP(F236,'[1]BASE DE DADOS'!$A:$C,3,0)</f>
        <v>THIAGO SANTOS SILVA</v>
      </c>
    </row>
    <row r="237" spans="1:10" x14ac:dyDescent="0.25">
      <c r="A237" s="40" t="s">
        <v>775</v>
      </c>
      <c r="B237" s="41">
        <v>999882010302306</v>
      </c>
      <c r="C237" s="40" t="s">
        <v>40</v>
      </c>
      <c r="D237" s="40" t="s">
        <v>10</v>
      </c>
      <c r="E237" s="40" t="s">
        <v>776</v>
      </c>
      <c r="F237" s="40" t="s">
        <v>110</v>
      </c>
      <c r="G237" s="40" t="s">
        <v>16</v>
      </c>
      <c r="H237" s="40" t="s">
        <v>777</v>
      </c>
      <c r="I237" s="37" t="s">
        <v>32</v>
      </c>
      <c r="J237" t="str">
        <f>VLOOKUP(F237,'[1]BASE DE DADOS'!$A:$C,3,0)</f>
        <v>THIAGO SANTOS SILVA</v>
      </c>
    </row>
    <row r="238" spans="1:10" x14ac:dyDescent="0.25">
      <c r="A238" s="40" t="s">
        <v>778</v>
      </c>
      <c r="B238" s="41">
        <v>999882010170657</v>
      </c>
      <c r="C238" s="40" t="s">
        <v>40</v>
      </c>
      <c r="D238" s="40" t="s">
        <v>10</v>
      </c>
      <c r="E238" s="40" t="s">
        <v>779</v>
      </c>
      <c r="F238" s="40" t="s">
        <v>72</v>
      </c>
      <c r="G238" s="40" t="s">
        <v>16</v>
      </c>
      <c r="H238" s="40" t="s">
        <v>780</v>
      </c>
      <c r="I238" s="37" t="s">
        <v>32</v>
      </c>
      <c r="J238" t="str">
        <f>VLOOKUP(F238,'[1]BASE DE DADOS'!$A:$C,3,0)</f>
        <v>THIAGO SANTOS SILVA</v>
      </c>
    </row>
    <row r="239" spans="1:10" x14ac:dyDescent="0.25">
      <c r="A239" s="40" t="s">
        <v>781</v>
      </c>
      <c r="B239" s="41">
        <v>999881961315153</v>
      </c>
      <c r="C239" s="40" t="s">
        <v>41</v>
      </c>
      <c r="D239" s="40" t="s">
        <v>10</v>
      </c>
      <c r="E239" s="40" t="s">
        <v>782</v>
      </c>
      <c r="F239" s="40" t="s">
        <v>25</v>
      </c>
      <c r="G239" s="40" t="s">
        <v>16</v>
      </c>
      <c r="H239" s="40">
        <v>0</v>
      </c>
      <c r="I239" s="37" t="s">
        <v>33</v>
      </c>
      <c r="J239" t="str">
        <f>VLOOKUP(F239,'[1]BASE DE DADOS'!$A:$C,3,0)</f>
        <v>THIAGO SANTOS SILVA</v>
      </c>
    </row>
    <row r="240" spans="1:10" x14ac:dyDescent="0.25">
      <c r="A240" s="40" t="s">
        <v>783</v>
      </c>
      <c r="B240" s="41">
        <v>999882026325566</v>
      </c>
      <c r="C240" s="40" t="s">
        <v>40</v>
      </c>
      <c r="D240" s="40" t="s">
        <v>10</v>
      </c>
      <c r="E240" s="40" t="s">
        <v>784</v>
      </c>
      <c r="F240" s="40" t="s">
        <v>35</v>
      </c>
      <c r="G240" s="40" t="s">
        <v>16</v>
      </c>
      <c r="H240" s="40" t="s">
        <v>785</v>
      </c>
      <c r="I240" s="37" t="s">
        <v>32</v>
      </c>
      <c r="J240" t="str">
        <f>VLOOKUP(F240,'[1]BASE DE DADOS'!$A:$C,3,0)</f>
        <v>DANILO GOMES DA SILVA</v>
      </c>
    </row>
    <row r="241" spans="1:10" x14ac:dyDescent="0.25">
      <c r="A241" s="40" t="s">
        <v>786</v>
      </c>
      <c r="B241" s="41">
        <v>999881964583556</v>
      </c>
      <c r="C241" s="40" t="s">
        <v>41</v>
      </c>
      <c r="D241" s="40" t="s">
        <v>10</v>
      </c>
      <c r="E241" s="40" t="s">
        <v>787</v>
      </c>
      <c r="F241" s="40" t="s">
        <v>15</v>
      </c>
      <c r="G241" s="40" t="s">
        <v>16</v>
      </c>
      <c r="H241" s="40">
        <v>0</v>
      </c>
      <c r="I241" s="37" t="s">
        <v>33</v>
      </c>
      <c r="J241" t="str">
        <f>VLOOKUP(F241,'[1]BASE DE DADOS'!$A:$C,3,0)</f>
        <v>DANILO GOMES DA SILVA</v>
      </c>
    </row>
    <row r="242" spans="1:10" x14ac:dyDescent="0.25">
      <c r="A242" s="40" t="s">
        <v>788</v>
      </c>
      <c r="B242" s="41">
        <v>999882026614469</v>
      </c>
      <c r="C242" s="40" t="s">
        <v>40</v>
      </c>
      <c r="D242" s="40" t="s">
        <v>10</v>
      </c>
      <c r="E242" s="40" t="s">
        <v>789</v>
      </c>
      <c r="F242" s="40" t="s">
        <v>20</v>
      </c>
      <c r="G242" s="40" t="s">
        <v>16</v>
      </c>
      <c r="H242" s="40" t="s">
        <v>790</v>
      </c>
      <c r="I242" s="37" t="s">
        <v>32</v>
      </c>
      <c r="J242" t="str">
        <f>VLOOKUP(F242,'[1]BASE DE DADOS'!$A:$C,3,0)</f>
        <v>THIAGO SANTOS SILVA</v>
      </c>
    </row>
    <row r="243" spans="1:10" x14ac:dyDescent="0.25">
      <c r="A243" s="40" t="s">
        <v>791</v>
      </c>
      <c r="B243" s="41">
        <v>999882019962224</v>
      </c>
      <c r="C243" s="40" t="s">
        <v>40</v>
      </c>
      <c r="D243" s="40" t="s">
        <v>10</v>
      </c>
      <c r="E243" s="40" t="s">
        <v>792</v>
      </c>
      <c r="F243" s="40" t="s">
        <v>90</v>
      </c>
      <c r="G243" s="40" t="s">
        <v>16</v>
      </c>
      <c r="H243" s="40" t="s">
        <v>793</v>
      </c>
      <c r="I243" s="37" t="s">
        <v>32</v>
      </c>
      <c r="J243" t="str">
        <f>VLOOKUP(F243,'[1]BASE DE DADOS'!$A:$C,3,0)</f>
        <v>THIAGO SANTOS SILVA</v>
      </c>
    </row>
    <row r="244" spans="1:10" x14ac:dyDescent="0.25">
      <c r="A244" s="40" t="s">
        <v>794</v>
      </c>
      <c r="B244" s="41">
        <v>999882004842651</v>
      </c>
      <c r="C244" s="40" t="s">
        <v>40</v>
      </c>
      <c r="D244" s="40" t="s">
        <v>10</v>
      </c>
      <c r="E244" s="40" t="s">
        <v>795</v>
      </c>
      <c r="F244" s="40" t="s">
        <v>34</v>
      </c>
      <c r="G244" s="40" t="s">
        <v>16</v>
      </c>
      <c r="H244" s="40">
        <v>0</v>
      </c>
      <c r="I244" s="37" t="s">
        <v>33</v>
      </c>
      <c r="J244" t="str">
        <f>VLOOKUP(F244,'[1]BASE DE DADOS'!$A:$C,3,0)</f>
        <v>DANILO GOMES DA SILVA</v>
      </c>
    </row>
    <row r="245" spans="1:10" x14ac:dyDescent="0.25">
      <c r="A245" s="40" t="s">
        <v>796</v>
      </c>
      <c r="B245" s="41">
        <v>999882029056265</v>
      </c>
      <c r="C245" s="40" t="s">
        <v>40</v>
      </c>
      <c r="D245" s="40" t="s">
        <v>10</v>
      </c>
      <c r="E245" s="40" t="s">
        <v>797</v>
      </c>
      <c r="F245" s="40" t="s">
        <v>30</v>
      </c>
      <c r="G245" s="40" t="s">
        <v>16</v>
      </c>
      <c r="H245" s="40" t="s">
        <v>798</v>
      </c>
      <c r="I245" s="37" t="s">
        <v>32</v>
      </c>
      <c r="J245" t="str">
        <f>VLOOKUP(F245,'[1]BASE DE DADOS'!$A:$C,3,0)</f>
        <v>DANILO GOMES DA SILVA</v>
      </c>
    </row>
    <row r="246" spans="1:10" x14ac:dyDescent="0.25">
      <c r="A246" s="40" t="s">
        <v>799</v>
      </c>
      <c r="B246" s="41">
        <v>999881927711075</v>
      </c>
      <c r="C246" s="40" t="s">
        <v>40</v>
      </c>
      <c r="D246" s="40" t="s">
        <v>10</v>
      </c>
      <c r="E246" s="40" t="s">
        <v>800</v>
      </c>
      <c r="F246" s="40" t="s">
        <v>79</v>
      </c>
      <c r="G246" s="40" t="s">
        <v>16</v>
      </c>
      <c r="H246" s="40">
        <v>0</v>
      </c>
      <c r="I246" s="37" t="s">
        <v>33</v>
      </c>
      <c r="J246" t="str">
        <f>VLOOKUP(F246,'[1]BASE DE DADOS'!$A:$C,3,0)</f>
        <v>THIAGO SANTOS SILVA</v>
      </c>
    </row>
    <row r="247" spans="1:10" x14ac:dyDescent="0.25">
      <c r="A247" s="40" t="s">
        <v>801</v>
      </c>
      <c r="B247" s="41">
        <v>999882049651137</v>
      </c>
      <c r="C247" s="40" t="s">
        <v>40</v>
      </c>
      <c r="D247" s="40" t="s">
        <v>10</v>
      </c>
      <c r="E247" s="40" t="s">
        <v>802</v>
      </c>
      <c r="F247" s="40" t="s">
        <v>81</v>
      </c>
      <c r="G247" s="40" t="s">
        <v>16</v>
      </c>
      <c r="H247" s="40">
        <v>0</v>
      </c>
      <c r="I247" s="37" t="s">
        <v>33</v>
      </c>
      <c r="J247" t="str">
        <f>VLOOKUP(F247,'[1]BASE DE DADOS'!$A:$C,3,0)</f>
        <v>THIAGO SANTOS SILVA</v>
      </c>
    </row>
    <row r="248" spans="1:10" x14ac:dyDescent="0.25">
      <c r="A248" s="40" t="s">
        <v>803</v>
      </c>
      <c r="B248" s="41">
        <v>999882011055286</v>
      </c>
      <c r="C248" s="40" t="s">
        <v>40</v>
      </c>
      <c r="D248" s="40" t="s">
        <v>10</v>
      </c>
      <c r="E248" s="40" t="s">
        <v>804</v>
      </c>
      <c r="F248" s="40" t="s">
        <v>44</v>
      </c>
      <c r="G248" s="40" t="s">
        <v>16</v>
      </c>
      <c r="H248" s="40">
        <v>0</v>
      </c>
      <c r="I248" s="37" t="s">
        <v>33</v>
      </c>
      <c r="J248" t="str">
        <f>VLOOKUP(F248,'[1]BASE DE DADOS'!$A:$C,3,0)</f>
        <v>THIAGO SANTOS SILVA</v>
      </c>
    </row>
    <row r="249" spans="1:10" x14ac:dyDescent="0.25">
      <c r="A249" s="40" t="s">
        <v>805</v>
      </c>
      <c r="B249" s="41">
        <v>999881943136107</v>
      </c>
      <c r="C249" s="40" t="s">
        <v>40</v>
      </c>
      <c r="D249" s="40" t="s">
        <v>10</v>
      </c>
      <c r="E249" s="40" t="s">
        <v>806</v>
      </c>
      <c r="F249" s="40" t="s">
        <v>24</v>
      </c>
      <c r="G249" s="40" t="s">
        <v>16</v>
      </c>
      <c r="H249" s="40">
        <v>0</v>
      </c>
      <c r="I249" s="37" t="s">
        <v>33</v>
      </c>
      <c r="J249" t="str">
        <f>VLOOKUP(F249,'[1]BASE DE DADOS'!$A:$C,3,0)</f>
        <v>THIAGO SANTOS SILVA</v>
      </c>
    </row>
    <row r="250" spans="1:10" x14ac:dyDescent="0.25">
      <c r="A250" s="40" t="s">
        <v>807</v>
      </c>
      <c r="B250" s="41">
        <v>999881966946795</v>
      </c>
      <c r="C250" s="40" t="s">
        <v>42</v>
      </c>
      <c r="D250" s="40" t="s">
        <v>10</v>
      </c>
      <c r="E250" s="40" t="s">
        <v>808</v>
      </c>
      <c r="F250" s="40" t="s">
        <v>74</v>
      </c>
      <c r="G250" s="40" t="s">
        <v>16</v>
      </c>
      <c r="H250" s="40">
        <v>0</v>
      </c>
      <c r="I250" s="37" t="s">
        <v>33</v>
      </c>
      <c r="J250" t="str">
        <f>VLOOKUP(F250,'[1]BASE DE DADOS'!$A:$C,3,0)</f>
        <v>DANILO GOMES DA SILVA</v>
      </c>
    </row>
    <row r="251" spans="1:10" x14ac:dyDescent="0.25">
      <c r="A251" s="40" t="s">
        <v>809</v>
      </c>
      <c r="B251" s="41">
        <v>999881981747718</v>
      </c>
      <c r="C251" s="40" t="s">
        <v>41</v>
      </c>
      <c r="D251" s="40" t="s">
        <v>10</v>
      </c>
      <c r="E251" s="40" t="s">
        <v>810</v>
      </c>
      <c r="F251" s="40" t="s">
        <v>38</v>
      </c>
      <c r="G251" s="40" t="s">
        <v>16</v>
      </c>
      <c r="H251" s="40">
        <v>0</v>
      </c>
      <c r="I251" s="37" t="s">
        <v>33</v>
      </c>
      <c r="J251" t="str">
        <f>VLOOKUP(F251,'[1]BASE DE DADOS'!$A:$C,3,0)</f>
        <v>THIAGO SANTOS SILVA</v>
      </c>
    </row>
    <row r="252" spans="1:10" x14ac:dyDescent="0.25">
      <c r="A252" s="40" t="s">
        <v>811</v>
      </c>
      <c r="B252" s="41">
        <v>999882018603518</v>
      </c>
      <c r="C252" s="40" t="s">
        <v>42</v>
      </c>
      <c r="D252" s="40" t="s">
        <v>10</v>
      </c>
      <c r="E252" s="40" t="s">
        <v>812</v>
      </c>
      <c r="F252" s="40" t="s">
        <v>24</v>
      </c>
      <c r="G252" s="40" t="s">
        <v>16</v>
      </c>
      <c r="H252" s="40" t="s">
        <v>900</v>
      </c>
      <c r="I252" s="37" t="s">
        <v>32</v>
      </c>
      <c r="J252" t="str">
        <f>VLOOKUP(F252,'[1]BASE DE DADOS'!$A:$C,3,0)</f>
        <v>THIAGO SANTOS SILVA</v>
      </c>
    </row>
    <row r="253" spans="1:10" x14ac:dyDescent="0.25">
      <c r="A253" s="40" t="s">
        <v>813</v>
      </c>
      <c r="B253" s="41">
        <v>999881984634413</v>
      </c>
      <c r="C253" s="40" t="s">
        <v>43</v>
      </c>
      <c r="D253" s="40" t="s">
        <v>10</v>
      </c>
      <c r="E253" s="40" t="s">
        <v>814</v>
      </c>
      <c r="F253" s="40" t="s">
        <v>97</v>
      </c>
      <c r="G253" s="40" t="s">
        <v>16</v>
      </c>
      <c r="H253" s="40">
        <v>0</v>
      </c>
      <c r="I253" s="37" t="s">
        <v>33</v>
      </c>
      <c r="J253" t="str">
        <f>VLOOKUP(F253,'[1]BASE DE DADOS'!$A:$C,3,0)</f>
        <v>DANILO GOMES DA SILVA</v>
      </c>
    </row>
    <row r="254" spans="1:10" x14ac:dyDescent="0.25">
      <c r="A254" s="40" t="s">
        <v>815</v>
      </c>
      <c r="B254" s="41">
        <v>999881989228935</v>
      </c>
      <c r="C254" s="40" t="s">
        <v>42</v>
      </c>
      <c r="D254" s="40" t="s">
        <v>10</v>
      </c>
      <c r="E254" s="40" t="s">
        <v>816</v>
      </c>
      <c r="F254" s="40" t="s">
        <v>113</v>
      </c>
      <c r="G254" s="40" t="s">
        <v>16</v>
      </c>
      <c r="H254" s="40">
        <v>0</v>
      </c>
      <c r="I254" s="37" t="s">
        <v>33</v>
      </c>
      <c r="J254" t="str">
        <f>VLOOKUP(F254,'[1]BASE DE DADOS'!$A:$C,3,0)</f>
        <v>DANILO GOMES DA SILVA</v>
      </c>
    </row>
    <row r="255" spans="1:10" x14ac:dyDescent="0.25">
      <c r="A255" s="40" t="s">
        <v>817</v>
      </c>
      <c r="B255" s="41">
        <v>999881976843515</v>
      </c>
      <c r="C255" s="40" t="s">
        <v>40</v>
      </c>
      <c r="D255" s="40" t="s">
        <v>10</v>
      </c>
      <c r="E255" s="40" t="s">
        <v>818</v>
      </c>
      <c r="F255" s="40" t="s">
        <v>19</v>
      </c>
      <c r="G255" s="40" t="s">
        <v>16</v>
      </c>
      <c r="H255" s="40">
        <v>0</v>
      </c>
      <c r="I255" s="37" t="s">
        <v>33</v>
      </c>
      <c r="J255" t="str">
        <f>VLOOKUP(F255,'[1]BASE DE DADOS'!$A:$C,3,0)</f>
        <v>DANILO GOMES DA SILVA</v>
      </c>
    </row>
    <row r="256" spans="1:10" x14ac:dyDescent="0.25">
      <c r="A256" s="40" t="s">
        <v>819</v>
      </c>
      <c r="B256" s="41">
        <v>999882048184221</v>
      </c>
      <c r="C256" s="40" t="s">
        <v>820</v>
      </c>
      <c r="D256" s="40" t="s">
        <v>10</v>
      </c>
      <c r="E256" s="40" t="s">
        <v>821</v>
      </c>
      <c r="F256" s="40" t="s">
        <v>23</v>
      </c>
      <c r="G256" s="40" t="s">
        <v>16</v>
      </c>
      <c r="H256" s="40" t="s">
        <v>901</v>
      </c>
      <c r="I256" s="37" t="s">
        <v>32</v>
      </c>
      <c r="J256" t="str">
        <f>VLOOKUP(F256,'[1]BASE DE DADOS'!$A:$C,3,0)</f>
        <v>DANILO GOMES DA SILVA</v>
      </c>
    </row>
    <row r="257" spans="1:10" x14ac:dyDescent="0.25">
      <c r="A257" s="40" t="s">
        <v>822</v>
      </c>
      <c r="B257" s="41">
        <v>999882027446270</v>
      </c>
      <c r="C257" s="40" t="s">
        <v>41</v>
      </c>
      <c r="D257" s="40" t="s">
        <v>10</v>
      </c>
      <c r="E257" s="40" t="s">
        <v>823</v>
      </c>
      <c r="F257" s="40" t="s">
        <v>15</v>
      </c>
      <c r="G257" s="40" t="s">
        <v>16</v>
      </c>
      <c r="H257" s="40" t="s">
        <v>902</v>
      </c>
      <c r="I257" s="37" t="s">
        <v>32</v>
      </c>
      <c r="J257" t="str">
        <f>VLOOKUP(F257,'[1]BASE DE DADOS'!$A:$C,3,0)</f>
        <v>DANILO GOMES DA SILVA</v>
      </c>
    </row>
    <row r="258" spans="1:10" x14ac:dyDescent="0.25">
      <c r="A258" s="40" t="s">
        <v>824</v>
      </c>
      <c r="B258" s="41">
        <v>999881972438037</v>
      </c>
      <c r="C258" s="40" t="s">
        <v>43</v>
      </c>
      <c r="D258" s="40" t="s">
        <v>10</v>
      </c>
      <c r="E258" s="40" t="s">
        <v>825</v>
      </c>
      <c r="F258" s="40" t="s">
        <v>27</v>
      </c>
      <c r="G258" s="40" t="s">
        <v>16</v>
      </c>
      <c r="H258" s="40">
        <v>0</v>
      </c>
      <c r="I258" s="37" t="s">
        <v>33</v>
      </c>
      <c r="J258" t="str">
        <f>VLOOKUP(F258,'[1]BASE DE DADOS'!$A:$C,3,0)</f>
        <v>THIAGO SANTOS SILVA</v>
      </c>
    </row>
    <row r="259" spans="1:10" x14ac:dyDescent="0.25">
      <c r="A259" s="40" t="s">
        <v>826</v>
      </c>
      <c r="B259" s="41">
        <v>999881986929646</v>
      </c>
      <c r="C259" s="40" t="s">
        <v>42</v>
      </c>
      <c r="D259" s="40" t="s">
        <v>10</v>
      </c>
      <c r="E259" s="40" t="s">
        <v>827</v>
      </c>
      <c r="F259" s="40" t="s">
        <v>24</v>
      </c>
      <c r="G259" s="40" t="s">
        <v>16</v>
      </c>
      <c r="H259" s="40">
        <v>0</v>
      </c>
      <c r="I259" s="37" t="s">
        <v>33</v>
      </c>
      <c r="J259" t="str">
        <f>VLOOKUP(F259,'[1]BASE DE DADOS'!$A:$C,3,0)</f>
        <v>THIAGO SANTOS SILVA</v>
      </c>
    </row>
    <row r="260" spans="1:10" x14ac:dyDescent="0.25">
      <c r="A260" s="40" t="s">
        <v>828</v>
      </c>
      <c r="B260" s="41">
        <v>999882043651400</v>
      </c>
      <c r="C260" s="40" t="s">
        <v>43</v>
      </c>
      <c r="D260" s="40" t="s">
        <v>10</v>
      </c>
      <c r="E260" s="40" t="s">
        <v>829</v>
      </c>
      <c r="F260" s="40" t="s">
        <v>95</v>
      </c>
      <c r="G260" s="40" t="s">
        <v>16</v>
      </c>
      <c r="H260" s="40">
        <v>0</v>
      </c>
      <c r="I260" s="37" t="s">
        <v>33</v>
      </c>
      <c r="J260" t="str">
        <f>VLOOKUP(F260,'[1]BASE DE DADOS'!$A:$C,3,0)</f>
        <v>DANILO GOMES DA SILVA</v>
      </c>
    </row>
    <row r="261" spans="1:10" x14ac:dyDescent="0.25">
      <c r="A261" s="40" t="s">
        <v>830</v>
      </c>
      <c r="B261" s="41">
        <v>999882014373172</v>
      </c>
      <c r="C261" s="40" t="s">
        <v>43</v>
      </c>
      <c r="D261" s="40" t="s">
        <v>10</v>
      </c>
      <c r="E261" s="40" t="s">
        <v>831</v>
      </c>
      <c r="F261" s="40" t="s">
        <v>64</v>
      </c>
      <c r="G261" s="40" t="s">
        <v>16</v>
      </c>
      <c r="H261" s="40">
        <v>0</v>
      </c>
      <c r="I261" s="37" t="s">
        <v>33</v>
      </c>
      <c r="J261" t="str">
        <f>VLOOKUP(F261,'[1]BASE DE DADOS'!$A:$C,3,0)</f>
        <v>THIAGO SANTOS SILVA</v>
      </c>
    </row>
    <row r="262" spans="1:10" x14ac:dyDescent="0.25">
      <c r="A262" s="40" t="s">
        <v>832</v>
      </c>
      <c r="B262" s="41">
        <v>999882023778049</v>
      </c>
      <c r="C262" s="40" t="s">
        <v>43</v>
      </c>
      <c r="D262" s="40" t="s">
        <v>10</v>
      </c>
      <c r="E262" s="40" t="s">
        <v>833</v>
      </c>
      <c r="F262" s="40" t="s">
        <v>35</v>
      </c>
      <c r="G262" s="40" t="s">
        <v>16</v>
      </c>
      <c r="H262" s="40">
        <v>0</v>
      </c>
      <c r="I262" s="37" t="s">
        <v>33</v>
      </c>
      <c r="J262" t="str">
        <f>VLOOKUP(F262,'[1]BASE DE DADOS'!$A:$C,3,0)</f>
        <v>DANILO GOMES DA SILVA</v>
      </c>
    </row>
    <row r="263" spans="1:10" x14ac:dyDescent="0.25">
      <c r="A263" s="40" t="s">
        <v>834</v>
      </c>
      <c r="B263" s="41">
        <v>999882093659608</v>
      </c>
      <c r="C263" s="40" t="s">
        <v>40</v>
      </c>
      <c r="D263" s="40" t="s">
        <v>10</v>
      </c>
      <c r="E263" s="40" t="s">
        <v>835</v>
      </c>
      <c r="F263" s="40" t="s">
        <v>100</v>
      </c>
      <c r="G263" s="40" t="s">
        <v>16</v>
      </c>
      <c r="H263" s="40">
        <v>0</v>
      </c>
      <c r="I263" s="37" t="s">
        <v>33</v>
      </c>
      <c r="J263" t="str">
        <f>VLOOKUP(F263,'[1]BASE DE DADOS'!$A:$C,3,0)</f>
        <v>THIAGO SANTOS SILVA</v>
      </c>
    </row>
    <row r="264" spans="1:10" x14ac:dyDescent="0.25">
      <c r="A264" s="40" t="s">
        <v>836</v>
      </c>
      <c r="B264" s="41">
        <v>999882046432423</v>
      </c>
      <c r="C264" s="40" t="s">
        <v>43</v>
      </c>
      <c r="D264" s="40" t="s">
        <v>10</v>
      </c>
      <c r="E264" s="40" t="s">
        <v>837</v>
      </c>
      <c r="F264" s="40" t="s">
        <v>39</v>
      </c>
      <c r="G264" s="40" t="s">
        <v>16</v>
      </c>
      <c r="H264" s="40" t="s">
        <v>838</v>
      </c>
      <c r="I264" s="37" t="s">
        <v>32</v>
      </c>
      <c r="J264" t="str">
        <f>VLOOKUP(F264,'[1]BASE DE DADOS'!$A:$C,3,0)</f>
        <v>DANILO GOMES DA SILVA</v>
      </c>
    </row>
    <row r="265" spans="1:10" x14ac:dyDescent="0.25">
      <c r="A265" s="40" t="s">
        <v>839</v>
      </c>
      <c r="B265" s="41">
        <v>999882005072805</v>
      </c>
      <c r="C265" s="40" t="s">
        <v>42</v>
      </c>
      <c r="D265" s="40" t="s">
        <v>10</v>
      </c>
      <c r="E265" s="40" t="s">
        <v>840</v>
      </c>
      <c r="F265" s="40" t="s">
        <v>24</v>
      </c>
      <c r="G265" s="40" t="s">
        <v>16</v>
      </c>
      <c r="H265" s="40">
        <v>0</v>
      </c>
      <c r="I265" s="37" t="s">
        <v>33</v>
      </c>
      <c r="J265" t="str">
        <f>VLOOKUP(F265,'[1]BASE DE DADOS'!$A:$C,3,0)</f>
        <v>THIAGO SANTOS SILVA</v>
      </c>
    </row>
    <row r="266" spans="1:10" x14ac:dyDescent="0.25">
      <c r="A266" s="40" t="s">
        <v>841</v>
      </c>
      <c r="B266" s="41">
        <v>999881997537588</v>
      </c>
      <c r="C266" s="40" t="s">
        <v>43</v>
      </c>
      <c r="D266" s="40" t="s">
        <v>10</v>
      </c>
      <c r="E266" s="40" t="s">
        <v>842</v>
      </c>
      <c r="F266" s="40" t="s">
        <v>72</v>
      </c>
      <c r="G266" s="40" t="s">
        <v>16</v>
      </c>
      <c r="H266" s="40">
        <v>0</v>
      </c>
      <c r="I266" s="37" t="s">
        <v>33</v>
      </c>
      <c r="J266" t="str">
        <f>VLOOKUP(F266,'[1]BASE DE DADOS'!$A:$C,3,0)</f>
        <v>THIAGO SANTOS SILVA</v>
      </c>
    </row>
    <row r="267" spans="1:10" x14ac:dyDescent="0.25">
      <c r="A267" s="40" t="s">
        <v>843</v>
      </c>
      <c r="B267" s="41">
        <v>999881998880188</v>
      </c>
      <c r="C267" s="40" t="s">
        <v>41</v>
      </c>
      <c r="D267" s="40" t="s">
        <v>10</v>
      </c>
      <c r="E267" s="40" t="s">
        <v>844</v>
      </c>
      <c r="F267" s="40" t="s">
        <v>73</v>
      </c>
      <c r="G267" s="40" t="s">
        <v>16</v>
      </c>
      <c r="H267" s="40">
        <v>0</v>
      </c>
      <c r="I267" s="37" t="s">
        <v>33</v>
      </c>
      <c r="J267" t="str">
        <f>VLOOKUP(F267,'[1]BASE DE DADOS'!$A:$C,3,0)</f>
        <v>DANILO GOMES DA SILVA</v>
      </c>
    </row>
    <row r="268" spans="1:10" x14ac:dyDescent="0.25">
      <c r="A268" s="40" t="s">
        <v>845</v>
      </c>
      <c r="B268" s="41">
        <v>999881965741738</v>
      </c>
      <c r="C268" s="40" t="s">
        <v>40</v>
      </c>
      <c r="D268" s="40" t="s">
        <v>10</v>
      </c>
      <c r="E268" s="40" t="s">
        <v>846</v>
      </c>
      <c r="F268" s="40" t="s">
        <v>17</v>
      </c>
      <c r="G268" s="40" t="s">
        <v>16</v>
      </c>
      <c r="H268" s="40">
        <v>0</v>
      </c>
      <c r="I268" s="37" t="s">
        <v>33</v>
      </c>
      <c r="J268" t="str">
        <f>VLOOKUP(F268,'[1]BASE DE DADOS'!$A:$C,3,0)</f>
        <v>DANILO GOMES DA SILVA</v>
      </c>
    </row>
    <row r="269" spans="1:10" x14ac:dyDescent="0.25">
      <c r="A269" s="40" t="s">
        <v>847</v>
      </c>
      <c r="B269" s="41">
        <v>999881952570271</v>
      </c>
      <c r="C269" s="40" t="s">
        <v>41</v>
      </c>
      <c r="D269" s="40" t="s">
        <v>10</v>
      </c>
      <c r="E269" s="40" t="s">
        <v>848</v>
      </c>
      <c r="F269" s="40" t="s">
        <v>139</v>
      </c>
      <c r="G269" s="40" t="s">
        <v>16</v>
      </c>
      <c r="H269" s="40">
        <v>0</v>
      </c>
      <c r="I269" s="37" t="s">
        <v>33</v>
      </c>
      <c r="J269" t="str">
        <f>VLOOKUP(F269,'[1]BASE DE DADOS'!$A:$C,3,0)</f>
        <v>THIAGO SANTOS SILVA</v>
      </c>
    </row>
    <row r="270" spans="1:10" x14ac:dyDescent="0.25">
      <c r="A270" s="40" t="s">
        <v>849</v>
      </c>
      <c r="B270" s="41">
        <v>999882020548958</v>
      </c>
      <c r="C270" s="40" t="s">
        <v>41</v>
      </c>
      <c r="D270" s="40" t="s">
        <v>10</v>
      </c>
      <c r="E270" s="40" t="s">
        <v>850</v>
      </c>
      <c r="F270" s="40" t="s">
        <v>139</v>
      </c>
      <c r="G270" s="40" t="s">
        <v>16</v>
      </c>
      <c r="H270" s="40">
        <v>0</v>
      </c>
      <c r="I270" s="37" t="s">
        <v>33</v>
      </c>
      <c r="J270" t="str">
        <f>VLOOKUP(F270,'[1]BASE DE DADOS'!$A:$C,3,0)</f>
        <v>THIAGO SANTOS SILVA</v>
      </c>
    </row>
    <row r="271" spans="1:10" x14ac:dyDescent="0.25">
      <c r="A271" s="40" t="s">
        <v>851</v>
      </c>
      <c r="B271" s="41">
        <v>999882024134295</v>
      </c>
      <c r="C271" s="40" t="s">
        <v>43</v>
      </c>
      <c r="D271" s="40" t="s">
        <v>10</v>
      </c>
      <c r="E271" s="40" t="s">
        <v>852</v>
      </c>
      <c r="F271" s="40" t="s">
        <v>92</v>
      </c>
      <c r="G271" s="40" t="s">
        <v>16</v>
      </c>
      <c r="H271" s="40">
        <v>0</v>
      </c>
      <c r="I271" s="37" t="s">
        <v>33</v>
      </c>
      <c r="J271" t="str">
        <f>VLOOKUP(F271,'[1]BASE DE DADOS'!$A:$C,3,0)</f>
        <v>THIAGO SANTOS SILVA</v>
      </c>
    </row>
    <row r="272" spans="1:10" x14ac:dyDescent="0.25">
      <c r="A272" s="40" t="s">
        <v>853</v>
      </c>
      <c r="B272" s="41">
        <v>999882018330846</v>
      </c>
      <c r="C272" s="40" t="s">
        <v>43</v>
      </c>
      <c r="D272" s="40" t="s">
        <v>10</v>
      </c>
      <c r="E272" s="40" t="s">
        <v>854</v>
      </c>
      <c r="F272" s="40" t="s">
        <v>63</v>
      </c>
      <c r="G272" s="40" t="s">
        <v>16</v>
      </c>
      <c r="H272" s="40">
        <v>0</v>
      </c>
      <c r="I272" s="37" t="s">
        <v>33</v>
      </c>
      <c r="J272" t="str">
        <f>VLOOKUP(F272,'[1]BASE DE DADOS'!$A:$C,3,0)</f>
        <v>DANILO GOMES DA SILVA</v>
      </c>
    </row>
    <row r="273" spans="1:10" x14ac:dyDescent="0.25">
      <c r="A273" s="40" t="s">
        <v>855</v>
      </c>
      <c r="B273" s="41">
        <v>999882010453773</v>
      </c>
      <c r="C273" s="40" t="s">
        <v>40</v>
      </c>
      <c r="D273" s="40" t="s">
        <v>10</v>
      </c>
      <c r="E273" s="40" t="s">
        <v>856</v>
      </c>
      <c r="F273" s="40" t="s">
        <v>25</v>
      </c>
      <c r="G273" s="40" t="s">
        <v>16</v>
      </c>
      <c r="H273" s="40">
        <v>0</v>
      </c>
      <c r="I273" s="37" t="s">
        <v>33</v>
      </c>
      <c r="J273" t="str">
        <f>VLOOKUP(F273,'[1]BASE DE DADOS'!$A:$C,3,0)</f>
        <v>THIAGO SANTOS SILVA</v>
      </c>
    </row>
    <row r="274" spans="1:10" x14ac:dyDescent="0.25">
      <c r="A274" s="40" t="s">
        <v>857</v>
      </c>
      <c r="B274" s="41">
        <v>999882068137846</v>
      </c>
      <c r="C274" s="40" t="s">
        <v>40</v>
      </c>
      <c r="D274" s="40" t="s">
        <v>10</v>
      </c>
      <c r="E274" s="40" t="s">
        <v>858</v>
      </c>
      <c r="F274" s="40" t="s">
        <v>61</v>
      </c>
      <c r="G274" s="40" t="s">
        <v>16</v>
      </c>
      <c r="H274" s="40" t="s">
        <v>903</v>
      </c>
      <c r="I274" s="37" t="s">
        <v>32</v>
      </c>
      <c r="J274" t="str">
        <f>VLOOKUP(F274,'[1]BASE DE DADOS'!$A:$C,3,0)</f>
        <v>THIAGO SANTOS SILVA</v>
      </c>
    </row>
    <row r="275" spans="1:10" x14ac:dyDescent="0.25">
      <c r="A275" s="40" t="s">
        <v>859</v>
      </c>
      <c r="B275" s="41">
        <v>999881994510965</v>
      </c>
      <c r="C275" s="40" t="s">
        <v>40</v>
      </c>
      <c r="D275" s="40" t="s">
        <v>10</v>
      </c>
      <c r="E275" s="40" t="s">
        <v>860</v>
      </c>
      <c r="F275" s="40" t="s">
        <v>67</v>
      </c>
      <c r="G275" s="40" t="s">
        <v>16</v>
      </c>
      <c r="H275" s="40">
        <v>0</v>
      </c>
      <c r="I275" s="37" t="s">
        <v>33</v>
      </c>
      <c r="J275" t="str">
        <f>VLOOKUP(F275,'[1]BASE DE DADOS'!$A:$C,3,0)</f>
        <v>THIAGO SANTOS SILVA</v>
      </c>
    </row>
    <row r="276" spans="1:10" x14ac:dyDescent="0.25">
      <c r="A276" s="40" t="s">
        <v>861</v>
      </c>
      <c r="B276" s="41">
        <v>999882028998466</v>
      </c>
      <c r="C276" s="40" t="s">
        <v>43</v>
      </c>
      <c r="D276" s="40" t="s">
        <v>10</v>
      </c>
      <c r="E276" s="40" t="s">
        <v>862</v>
      </c>
      <c r="F276" s="40" t="s">
        <v>64</v>
      </c>
      <c r="G276" s="40" t="s">
        <v>16</v>
      </c>
      <c r="H276" s="40">
        <v>0</v>
      </c>
      <c r="I276" s="37" t="s">
        <v>33</v>
      </c>
      <c r="J276" t="str">
        <f>VLOOKUP(F276,'[1]BASE DE DADOS'!$A:$C,3,0)</f>
        <v>THIAGO SANTOS SILVA</v>
      </c>
    </row>
    <row r="277" spans="1:10" x14ac:dyDescent="0.25">
      <c r="A277" s="40" t="s">
        <v>863</v>
      </c>
      <c r="B277" s="41">
        <v>999881890269430</v>
      </c>
      <c r="C277" s="40" t="s">
        <v>43</v>
      </c>
      <c r="D277" s="40" t="s">
        <v>10</v>
      </c>
      <c r="E277" s="40" t="s">
        <v>864</v>
      </c>
      <c r="F277" s="40" t="s">
        <v>23</v>
      </c>
      <c r="G277" s="40" t="s">
        <v>16</v>
      </c>
      <c r="H277" s="40">
        <v>0</v>
      </c>
      <c r="I277" s="37" t="s">
        <v>33</v>
      </c>
      <c r="J277" t="str">
        <f>VLOOKUP(F277,'[1]BASE DE DADOS'!$A:$C,3,0)</f>
        <v>DANILO GOMES DA SILVA</v>
      </c>
    </row>
    <row r="278" spans="1:10" x14ac:dyDescent="0.25">
      <c r="A278" s="40" t="s">
        <v>865</v>
      </c>
      <c r="B278" s="41">
        <v>999882026953888</v>
      </c>
      <c r="C278" s="40" t="s">
        <v>43</v>
      </c>
      <c r="D278" s="40" t="s">
        <v>10</v>
      </c>
      <c r="E278" s="40" t="s">
        <v>866</v>
      </c>
      <c r="F278" s="40" t="s">
        <v>39</v>
      </c>
      <c r="G278" s="40" t="s">
        <v>16</v>
      </c>
      <c r="H278" s="40">
        <v>0</v>
      </c>
      <c r="I278" s="37" t="s">
        <v>33</v>
      </c>
      <c r="J278" t="str">
        <f>VLOOKUP(F278,'[1]BASE DE DADOS'!$A:$C,3,0)</f>
        <v>DANILO GOMES DA SILVA</v>
      </c>
    </row>
    <row r="279" spans="1:10" x14ac:dyDescent="0.25">
      <c r="A279" s="40" t="s">
        <v>867</v>
      </c>
      <c r="B279" s="41">
        <v>999882027481262</v>
      </c>
      <c r="C279" s="40" t="s">
        <v>40</v>
      </c>
      <c r="D279" s="40" t="s">
        <v>10</v>
      </c>
      <c r="E279" s="40" t="s">
        <v>868</v>
      </c>
      <c r="F279" s="40" t="s">
        <v>126</v>
      </c>
      <c r="G279" s="40" t="s">
        <v>16</v>
      </c>
      <c r="H279" s="40" t="s">
        <v>904</v>
      </c>
      <c r="I279" s="37" t="s">
        <v>32</v>
      </c>
      <c r="J279" t="str">
        <f>VLOOKUP(F279,'[1]BASE DE DADOS'!$A:$C,3,0)</f>
        <v>DANILO GOMES DA SILVA</v>
      </c>
    </row>
    <row r="280" spans="1:10" x14ac:dyDescent="0.25">
      <c r="A280" s="40" t="s">
        <v>869</v>
      </c>
      <c r="B280" s="41">
        <v>999882030494714</v>
      </c>
      <c r="C280" s="40" t="s">
        <v>42</v>
      </c>
      <c r="D280" s="40" t="s">
        <v>10</v>
      </c>
      <c r="E280" s="40" t="s">
        <v>870</v>
      </c>
      <c r="F280" s="40" t="s">
        <v>30</v>
      </c>
      <c r="G280" s="40" t="s">
        <v>16</v>
      </c>
      <c r="H280" s="40" t="s">
        <v>905</v>
      </c>
      <c r="I280" s="37" t="s">
        <v>32</v>
      </c>
      <c r="J280" t="str">
        <f>VLOOKUP(F280,'[1]BASE DE DADOS'!$A:$C,3,0)</f>
        <v>DANILO GOMES DA SILVA</v>
      </c>
    </row>
    <row r="281" spans="1:10" x14ac:dyDescent="0.25">
      <c r="A281" s="40" t="s">
        <v>871</v>
      </c>
      <c r="B281" s="41">
        <v>999881964470595</v>
      </c>
      <c r="C281" s="40" t="s">
        <v>43</v>
      </c>
      <c r="D281" s="40" t="s">
        <v>10</v>
      </c>
      <c r="E281" s="40" t="s">
        <v>872</v>
      </c>
      <c r="F281" s="40" t="s">
        <v>99</v>
      </c>
      <c r="G281" s="40" t="s">
        <v>16</v>
      </c>
      <c r="H281" s="40">
        <v>0</v>
      </c>
      <c r="I281" s="37" t="s">
        <v>33</v>
      </c>
      <c r="J281" t="str">
        <f>VLOOKUP(F281,'[1]BASE DE DADOS'!$A:$C,3,0)</f>
        <v>DANILO GOMES DA SILVA</v>
      </c>
    </row>
    <row r="282" spans="1:10" x14ac:dyDescent="0.25">
      <c r="A282" s="40" t="s">
        <v>873</v>
      </c>
      <c r="B282" s="41">
        <v>999882009843144</v>
      </c>
      <c r="C282" s="40" t="s">
        <v>43</v>
      </c>
      <c r="D282" s="40" t="s">
        <v>10</v>
      </c>
      <c r="E282" s="40" t="s">
        <v>874</v>
      </c>
      <c r="F282" s="40" t="s">
        <v>38</v>
      </c>
      <c r="G282" s="40" t="s">
        <v>16</v>
      </c>
      <c r="H282" s="40">
        <v>0</v>
      </c>
      <c r="I282" s="37" t="s">
        <v>33</v>
      </c>
      <c r="J282" t="str">
        <f>VLOOKUP(F282,'[1]BASE DE DADOS'!$A:$C,3,0)</f>
        <v>THIAGO SANTOS SILVA</v>
      </c>
    </row>
    <row r="283" spans="1:10" x14ac:dyDescent="0.25">
      <c r="A283" s="40" t="s">
        <v>875</v>
      </c>
      <c r="B283" s="41">
        <v>999882055413455</v>
      </c>
      <c r="C283" s="40" t="s">
        <v>40</v>
      </c>
      <c r="D283" s="40" t="s">
        <v>10</v>
      </c>
      <c r="E283" s="40" t="s">
        <v>876</v>
      </c>
      <c r="F283" s="40" t="s">
        <v>114</v>
      </c>
      <c r="G283" s="40" t="s">
        <v>16</v>
      </c>
      <c r="H283" s="40">
        <v>0</v>
      </c>
      <c r="I283" s="37" t="s">
        <v>33</v>
      </c>
      <c r="J283" t="str">
        <f>VLOOKUP(F283,'[1]BASE DE DADOS'!$A:$C,3,0)</f>
        <v>DANILO GOMES DA SILVA</v>
      </c>
    </row>
    <row r="284" spans="1:10" x14ac:dyDescent="0.25">
      <c r="A284" s="40" t="s">
        <v>877</v>
      </c>
      <c r="B284" s="41">
        <v>999881963172787</v>
      </c>
      <c r="C284" s="40" t="s">
        <v>42</v>
      </c>
      <c r="D284" s="40" t="s">
        <v>10</v>
      </c>
      <c r="E284" s="40" t="s">
        <v>878</v>
      </c>
      <c r="F284" s="40" t="s">
        <v>30</v>
      </c>
      <c r="G284" s="40" t="s">
        <v>16</v>
      </c>
      <c r="H284" s="40" t="s">
        <v>906</v>
      </c>
      <c r="I284" s="37" t="s">
        <v>32</v>
      </c>
      <c r="J284" t="str">
        <f>VLOOKUP(F284,'[1]BASE DE DADOS'!$A:$C,3,0)</f>
        <v>DANILO GOMES DA SILVA</v>
      </c>
    </row>
    <row r="285" spans="1:10" x14ac:dyDescent="0.25">
      <c r="A285" s="40" t="s">
        <v>879</v>
      </c>
      <c r="B285" s="41">
        <v>999882009447570</v>
      </c>
      <c r="C285" s="40" t="s">
        <v>43</v>
      </c>
      <c r="D285" s="40" t="s">
        <v>10</v>
      </c>
      <c r="E285" s="40" t="s">
        <v>880</v>
      </c>
      <c r="F285" s="40" t="s">
        <v>27</v>
      </c>
      <c r="G285" s="40" t="s">
        <v>16</v>
      </c>
      <c r="H285" s="40">
        <v>0</v>
      </c>
      <c r="I285" s="37" t="s">
        <v>33</v>
      </c>
      <c r="J285" t="str">
        <f>VLOOKUP(F285,'[1]BASE DE DADOS'!$A:$C,3,0)</f>
        <v>THIAGO SANTOS SILVA</v>
      </c>
    </row>
    <row r="286" spans="1:10" x14ac:dyDescent="0.25">
      <c r="A286" s="40" t="s">
        <v>881</v>
      </c>
      <c r="B286" s="41">
        <v>999882027200993</v>
      </c>
      <c r="C286" s="40" t="s">
        <v>43</v>
      </c>
      <c r="D286" s="40" t="s">
        <v>10</v>
      </c>
      <c r="E286" s="40" t="s">
        <v>882</v>
      </c>
      <c r="F286" s="40" t="s">
        <v>95</v>
      </c>
      <c r="G286" s="40" t="s">
        <v>16</v>
      </c>
      <c r="H286" s="40">
        <v>0</v>
      </c>
      <c r="I286" s="37" t="s">
        <v>33</v>
      </c>
      <c r="J286" t="str">
        <f>VLOOKUP(F286,'[1]BASE DE DADOS'!$A:$C,3,0)</f>
        <v>DANILO GOMES DA SILVA</v>
      </c>
    </row>
    <row r="287" spans="1:10" x14ac:dyDescent="0.25">
      <c r="A287" s="40" t="s">
        <v>883</v>
      </c>
      <c r="B287" s="41">
        <v>999882049673161</v>
      </c>
      <c r="C287" s="40" t="s">
        <v>43</v>
      </c>
      <c r="D287" s="40" t="s">
        <v>10</v>
      </c>
      <c r="E287" s="40" t="s">
        <v>884</v>
      </c>
      <c r="F287" s="40" t="s">
        <v>65</v>
      </c>
      <c r="G287" s="40" t="s">
        <v>16</v>
      </c>
      <c r="H287" s="40">
        <v>0</v>
      </c>
      <c r="I287" s="37" t="s">
        <v>33</v>
      </c>
      <c r="J287" t="str">
        <f>VLOOKUP(F287,'[1]BASE DE DADOS'!$A:$C,3,0)</f>
        <v>DANILO GOMES DA SILVA</v>
      </c>
    </row>
    <row r="288" spans="1:10" x14ac:dyDescent="0.25">
      <c r="A288" s="40" t="s">
        <v>885</v>
      </c>
      <c r="B288" s="41">
        <v>999882057371606</v>
      </c>
      <c r="C288" s="40" t="s">
        <v>40</v>
      </c>
      <c r="D288" s="40" t="s">
        <v>10</v>
      </c>
      <c r="E288" s="40" t="s">
        <v>886</v>
      </c>
      <c r="F288" s="40" t="s">
        <v>60</v>
      </c>
      <c r="G288" s="40" t="s">
        <v>16</v>
      </c>
      <c r="H288" s="40">
        <v>0</v>
      </c>
      <c r="I288" s="37" t="s">
        <v>33</v>
      </c>
      <c r="J288" t="str">
        <f>VLOOKUP(F288,'[1]BASE DE DADOS'!$A:$C,3,0)</f>
        <v>THIAGO SANTOS SILVA</v>
      </c>
    </row>
    <row r="289" spans="1:10" x14ac:dyDescent="0.25">
      <c r="A289" s="40" t="s">
        <v>887</v>
      </c>
      <c r="B289" s="41">
        <v>999881918842200</v>
      </c>
      <c r="C289" s="40" t="s">
        <v>43</v>
      </c>
      <c r="D289" s="40" t="s">
        <v>10</v>
      </c>
      <c r="E289" s="40" t="s">
        <v>888</v>
      </c>
      <c r="F289" s="40" t="s">
        <v>72</v>
      </c>
      <c r="G289" s="40" t="s">
        <v>16</v>
      </c>
      <c r="H289" s="40">
        <v>0</v>
      </c>
      <c r="I289" s="37" t="s">
        <v>33</v>
      </c>
      <c r="J289" t="str">
        <f>VLOOKUP(F289,'[1]BASE DE DADOS'!$A:$C,3,0)</f>
        <v>THIAGO SANTOS SILVA</v>
      </c>
    </row>
    <row r="290" spans="1:10" x14ac:dyDescent="0.25">
      <c r="A290" s="40" t="s">
        <v>889</v>
      </c>
      <c r="B290" s="41">
        <v>999882030356460</v>
      </c>
      <c r="C290" s="40" t="s">
        <v>40</v>
      </c>
      <c r="D290" s="40" t="s">
        <v>10</v>
      </c>
      <c r="E290" s="40" t="s">
        <v>890</v>
      </c>
      <c r="F290" s="40" t="s">
        <v>151</v>
      </c>
      <c r="G290" s="40" t="s">
        <v>16</v>
      </c>
      <c r="H290" s="40">
        <v>0</v>
      </c>
      <c r="I290" s="37" t="s">
        <v>33</v>
      </c>
      <c r="J290" t="str">
        <f>VLOOKUP(F290,'[1]BASE DE DADOS'!$A:$C,3,0)</f>
        <v>DANILO GOMES DA SILVA</v>
      </c>
    </row>
    <row r="291" spans="1:10" x14ac:dyDescent="0.25">
      <c r="A291" s="40" t="s">
        <v>891</v>
      </c>
      <c r="B291" s="41">
        <v>999881973527504</v>
      </c>
      <c r="C291" s="40" t="s">
        <v>43</v>
      </c>
      <c r="D291" s="40" t="s">
        <v>10</v>
      </c>
      <c r="E291" s="40" t="s">
        <v>892</v>
      </c>
      <c r="F291" s="40" t="s">
        <v>23</v>
      </c>
      <c r="G291" s="40" t="s">
        <v>16</v>
      </c>
      <c r="H291" s="40">
        <v>0</v>
      </c>
      <c r="I291" s="37" t="s">
        <v>33</v>
      </c>
      <c r="J291" t="str">
        <f>VLOOKUP(F291,'[1]BASE DE DADOS'!$A:$C,3,0)</f>
        <v>DANILO GOMES DA SILVA</v>
      </c>
    </row>
    <row r="292" spans="1:10" x14ac:dyDescent="0.25">
      <c r="A292" s="40" t="s">
        <v>893</v>
      </c>
      <c r="B292" s="41">
        <v>999882028431255</v>
      </c>
      <c r="C292" s="40" t="s">
        <v>40</v>
      </c>
      <c r="D292" s="40" t="s">
        <v>10</v>
      </c>
      <c r="E292" s="40" t="s">
        <v>894</v>
      </c>
      <c r="F292" s="40" t="s">
        <v>38</v>
      </c>
      <c r="G292" s="40" t="s">
        <v>16</v>
      </c>
      <c r="H292" s="40">
        <v>0</v>
      </c>
      <c r="I292" s="37" t="s">
        <v>33</v>
      </c>
      <c r="J292" t="str">
        <f>VLOOKUP(F292,'[1]BASE DE DADOS'!$A:$C,3,0)</f>
        <v>THIAGO SANTOS SILVA</v>
      </c>
    </row>
    <row r="293" spans="1:10" x14ac:dyDescent="0.25">
      <c r="A293" s="36" t="s">
        <v>907</v>
      </c>
      <c r="B293" s="38">
        <v>999881985525207</v>
      </c>
      <c r="C293" s="36" t="s">
        <v>41</v>
      </c>
      <c r="D293" s="36" t="s">
        <v>10</v>
      </c>
      <c r="E293" s="36" t="s">
        <v>908</v>
      </c>
      <c r="F293" s="36" t="s">
        <v>24</v>
      </c>
      <c r="G293" s="36" t="s">
        <v>16</v>
      </c>
      <c r="H293" s="36">
        <v>0</v>
      </c>
      <c r="I293" s="37" t="s">
        <v>33</v>
      </c>
      <c r="J293" t="str">
        <f>VLOOKUP(F293,'[1]BASE DE DADOS'!$A:$C,3,0)</f>
        <v>THIAGO SANTOS SILVA</v>
      </c>
    </row>
    <row r="294" spans="1:10" x14ac:dyDescent="0.25">
      <c r="A294" s="36" t="s">
        <v>909</v>
      </c>
      <c r="B294" s="38">
        <v>999882034899311</v>
      </c>
      <c r="C294" s="36" t="s">
        <v>41</v>
      </c>
      <c r="D294" s="36" t="s">
        <v>10</v>
      </c>
      <c r="E294" s="36" t="s">
        <v>910</v>
      </c>
      <c r="F294" s="36" t="s">
        <v>110</v>
      </c>
      <c r="G294" s="36" t="s">
        <v>16</v>
      </c>
      <c r="H294" s="36">
        <v>0</v>
      </c>
      <c r="I294" s="37" t="s">
        <v>33</v>
      </c>
      <c r="J294" t="str">
        <f>VLOOKUP(F294,'[1]BASE DE DADOS'!$A:$C,3,0)</f>
        <v>THIAGO SANTOS SILVA</v>
      </c>
    </row>
    <row r="295" spans="1:10" x14ac:dyDescent="0.25">
      <c r="A295" s="36" t="s">
        <v>911</v>
      </c>
      <c r="B295" s="38">
        <v>999882006091160</v>
      </c>
      <c r="C295" s="36" t="s">
        <v>43</v>
      </c>
      <c r="D295" s="36" t="s">
        <v>10</v>
      </c>
      <c r="E295" s="36" t="s">
        <v>912</v>
      </c>
      <c r="F295" s="36" t="s">
        <v>38</v>
      </c>
      <c r="G295" s="36" t="s">
        <v>16</v>
      </c>
      <c r="H295" s="36">
        <v>0</v>
      </c>
      <c r="I295" s="37" t="s">
        <v>33</v>
      </c>
      <c r="J295" t="str">
        <f>VLOOKUP(F295,'[1]BASE DE DADOS'!$A:$C,3,0)</f>
        <v>THIAGO SANTOS SILVA</v>
      </c>
    </row>
    <row r="296" spans="1:10" x14ac:dyDescent="0.25">
      <c r="A296" s="36" t="s">
        <v>913</v>
      </c>
      <c r="B296" s="38">
        <v>999882062524412</v>
      </c>
      <c r="C296" s="36" t="s">
        <v>40</v>
      </c>
      <c r="D296" s="36" t="s">
        <v>10</v>
      </c>
      <c r="E296" s="36" t="s">
        <v>914</v>
      </c>
      <c r="F296" s="36" t="s">
        <v>132</v>
      </c>
      <c r="G296" s="36" t="s">
        <v>16</v>
      </c>
      <c r="H296" s="36" t="s">
        <v>915</v>
      </c>
      <c r="I296" s="37" t="s">
        <v>32</v>
      </c>
      <c r="J296" t="str">
        <f>VLOOKUP(F296,'[1]BASE DE DADOS'!$A:$C,3,0)</f>
        <v>DANILO GOMES DA SILVA</v>
      </c>
    </row>
    <row r="297" spans="1:10" x14ac:dyDescent="0.25">
      <c r="A297" s="36" t="s">
        <v>916</v>
      </c>
      <c r="B297" s="38">
        <v>999882004840155</v>
      </c>
      <c r="C297" s="36" t="s">
        <v>41</v>
      </c>
      <c r="D297" s="36" t="s">
        <v>10</v>
      </c>
      <c r="E297" s="36" t="s">
        <v>917</v>
      </c>
      <c r="F297" s="36" t="s">
        <v>39</v>
      </c>
      <c r="G297" s="36" t="s">
        <v>16</v>
      </c>
      <c r="H297" s="36">
        <v>0</v>
      </c>
      <c r="I297" s="37" t="s">
        <v>33</v>
      </c>
      <c r="J297" t="str">
        <f>VLOOKUP(F297,'[1]BASE DE DADOS'!$A:$C,3,0)</f>
        <v>DANILO GOMES DA SILVA</v>
      </c>
    </row>
    <row r="298" spans="1:10" x14ac:dyDescent="0.25">
      <c r="A298" s="36" t="s">
        <v>918</v>
      </c>
      <c r="B298" s="38">
        <v>999881988422486</v>
      </c>
      <c r="C298" s="36" t="s">
        <v>43</v>
      </c>
      <c r="D298" s="36" t="s">
        <v>10</v>
      </c>
      <c r="E298" s="36" t="s">
        <v>919</v>
      </c>
      <c r="F298" s="36" t="s">
        <v>92</v>
      </c>
      <c r="G298" s="36" t="s">
        <v>16</v>
      </c>
      <c r="H298" s="36">
        <v>0</v>
      </c>
      <c r="I298" s="37" t="s">
        <v>33</v>
      </c>
      <c r="J298" t="str">
        <f>VLOOKUP(F298,'[1]BASE DE DADOS'!$A:$C,3,0)</f>
        <v>THIAGO SANTOS SILVA</v>
      </c>
    </row>
    <row r="299" spans="1:10" x14ac:dyDescent="0.25">
      <c r="A299" s="36" t="s">
        <v>920</v>
      </c>
      <c r="B299" s="38">
        <v>999882040375846</v>
      </c>
      <c r="C299" s="36" t="s">
        <v>40</v>
      </c>
      <c r="D299" s="36" t="s">
        <v>10</v>
      </c>
      <c r="E299" s="36" t="s">
        <v>921</v>
      </c>
      <c r="F299" s="36" t="s">
        <v>21</v>
      </c>
      <c r="G299" s="36" t="s">
        <v>16</v>
      </c>
      <c r="H299" s="36" t="s">
        <v>922</v>
      </c>
      <c r="I299" s="37" t="s">
        <v>32</v>
      </c>
      <c r="J299" t="str">
        <f>VLOOKUP(F299,'[1]BASE DE DADOS'!$A:$C,3,0)</f>
        <v>DANILO GOMES DA SILVA</v>
      </c>
    </row>
    <row r="300" spans="1:10" x14ac:dyDescent="0.25">
      <c r="A300" s="36" t="s">
        <v>923</v>
      </c>
      <c r="B300" s="38">
        <v>999881985055385</v>
      </c>
      <c r="C300" s="36" t="s">
        <v>41</v>
      </c>
      <c r="D300" s="36" t="s">
        <v>10</v>
      </c>
      <c r="E300" s="36" t="s">
        <v>924</v>
      </c>
      <c r="F300" s="36" t="s">
        <v>24</v>
      </c>
      <c r="G300" s="36" t="s">
        <v>16</v>
      </c>
      <c r="H300" s="36">
        <v>0</v>
      </c>
      <c r="I300" s="37" t="s">
        <v>33</v>
      </c>
      <c r="J300" t="str">
        <f>VLOOKUP(F300,'[1]BASE DE DADOS'!$A:$C,3,0)</f>
        <v>THIAGO SANTOS SILVA</v>
      </c>
    </row>
    <row r="301" spans="1:10" x14ac:dyDescent="0.25">
      <c r="A301" s="36" t="s">
        <v>925</v>
      </c>
      <c r="B301" s="38">
        <v>999881974903589</v>
      </c>
      <c r="C301" s="36" t="s">
        <v>41</v>
      </c>
      <c r="D301" s="36" t="s">
        <v>10</v>
      </c>
      <c r="E301" s="36" t="s">
        <v>926</v>
      </c>
      <c r="F301" s="36" t="s">
        <v>24</v>
      </c>
      <c r="G301" s="36" t="s">
        <v>16</v>
      </c>
      <c r="H301" s="36">
        <v>0</v>
      </c>
      <c r="I301" s="37" t="s">
        <v>33</v>
      </c>
      <c r="J301" t="str">
        <f>VLOOKUP(F301,'[1]BASE DE DADOS'!$A:$C,3,0)</f>
        <v>THIAGO SANTOS SILVA</v>
      </c>
    </row>
    <row r="302" spans="1:10" x14ac:dyDescent="0.25">
      <c r="A302" s="36" t="s">
        <v>927</v>
      </c>
      <c r="B302" s="38">
        <v>999881941537825</v>
      </c>
      <c r="C302" s="36" t="s">
        <v>40</v>
      </c>
      <c r="D302" s="36" t="s">
        <v>10</v>
      </c>
      <c r="E302" s="36" t="s">
        <v>928</v>
      </c>
      <c r="F302" s="36" t="s">
        <v>48</v>
      </c>
      <c r="G302" s="36" t="s">
        <v>16</v>
      </c>
      <c r="H302" s="36">
        <v>0</v>
      </c>
      <c r="I302" s="37" t="s">
        <v>33</v>
      </c>
      <c r="J302" t="str">
        <f>VLOOKUP(F302,'[1]BASE DE DADOS'!$A:$C,3,0)</f>
        <v>DANILO GOMES DA SILVA</v>
      </c>
    </row>
    <row r="303" spans="1:10" x14ac:dyDescent="0.25">
      <c r="A303" s="36" t="s">
        <v>929</v>
      </c>
      <c r="B303" s="38">
        <v>999881878053138</v>
      </c>
      <c r="C303" s="36" t="s">
        <v>42</v>
      </c>
      <c r="D303" s="36" t="s">
        <v>10</v>
      </c>
      <c r="E303" s="36" t="s">
        <v>930</v>
      </c>
      <c r="F303" s="36" t="s">
        <v>18</v>
      </c>
      <c r="G303" s="36" t="s">
        <v>16</v>
      </c>
      <c r="H303" s="36">
        <v>0</v>
      </c>
      <c r="I303" s="37" t="s">
        <v>33</v>
      </c>
      <c r="J303" t="str">
        <f>VLOOKUP(F303,'[1]BASE DE DADOS'!$A:$C,3,0)</f>
        <v>DANILO GOMES DA SILVA</v>
      </c>
    </row>
    <row r="304" spans="1:10" x14ac:dyDescent="0.25">
      <c r="A304" s="36" t="s">
        <v>931</v>
      </c>
      <c r="B304" s="38">
        <v>999881987652856</v>
      </c>
      <c r="C304" s="36" t="s">
        <v>41</v>
      </c>
      <c r="D304" s="36" t="s">
        <v>10</v>
      </c>
      <c r="E304" s="36" t="s">
        <v>932</v>
      </c>
      <c r="F304" s="36" t="s">
        <v>22</v>
      </c>
      <c r="G304" s="36" t="s">
        <v>16</v>
      </c>
      <c r="H304" s="36">
        <v>0</v>
      </c>
      <c r="I304" s="37" t="s">
        <v>33</v>
      </c>
      <c r="J304" t="str">
        <f>VLOOKUP(F304,'[1]BASE DE DADOS'!$A:$C,3,0)</f>
        <v>DANILO GOMES DA SILVA</v>
      </c>
    </row>
    <row r="305" spans="1:10" x14ac:dyDescent="0.25">
      <c r="A305" s="36" t="s">
        <v>933</v>
      </c>
      <c r="B305" s="38">
        <v>999882072144815</v>
      </c>
      <c r="C305" s="36" t="s">
        <v>40</v>
      </c>
      <c r="D305" s="36" t="s">
        <v>10</v>
      </c>
      <c r="E305" s="36" t="s">
        <v>934</v>
      </c>
      <c r="F305" s="36" t="s">
        <v>25</v>
      </c>
      <c r="G305" s="36" t="s">
        <v>16</v>
      </c>
      <c r="H305" s="36">
        <v>0</v>
      </c>
      <c r="I305" s="37" t="s">
        <v>33</v>
      </c>
      <c r="J305" t="str">
        <f>VLOOKUP(F305,'[1]BASE DE DADOS'!$A:$C,3,0)</f>
        <v>THIAGO SANTOS SILVA</v>
      </c>
    </row>
    <row r="306" spans="1:10" x14ac:dyDescent="0.25">
      <c r="A306" s="36" t="s">
        <v>935</v>
      </c>
      <c r="B306" s="38">
        <v>999881987767099</v>
      </c>
      <c r="C306" s="36" t="s">
        <v>41</v>
      </c>
      <c r="D306" s="36" t="s">
        <v>10</v>
      </c>
      <c r="E306" s="36" t="s">
        <v>936</v>
      </c>
      <c r="F306" s="36" t="s">
        <v>26</v>
      </c>
      <c r="G306" s="36" t="s">
        <v>16</v>
      </c>
      <c r="H306" s="36">
        <v>0</v>
      </c>
      <c r="I306" s="37" t="s">
        <v>33</v>
      </c>
      <c r="J306" t="str">
        <f>VLOOKUP(F306,'[1]BASE DE DADOS'!$A:$C,3,0)</f>
        <v>DANILO GOMES DA SILVA</v>
      </c>
    </row>
    <row r="307" spans="1:10" x14ac:dyDescent="0.25">
      <c r="A307" s="36" t="s">
        <v>937</v>
      </c>
      <c r="B307" s="38">
        <v>999882061944745</v>
      </c>
      <c r="C307" s="36" t="s">
        <v>40</v>
      </c>
      <c r="D307" s="36" t="s">
        <v>10</v>
      </c>
      <c r="E307" s="36" t="s">
        <v>938</v>
      </c>
      <c r="F307" s="36" t="s">
        <v>44</v>
      </c>
      <c r="G307" s="36" t="s">
        <v>16</v>
      </c>
      <c r="H307" s="36">
        <v>0</v>
      </c>
      <c r="I307" s="37" t="s">
        <v>33</v>
      </c>
      <c r="J307" t="str">
        <f>VLOOKUP(F307,'[1]BASE DE DADOS'!$A:$C,3,0)</f>
        <v>THIAGO SANTOS SILVA</v>
      </c>
    </row>
    <row r="308" spans="1:10" x14ac:dyDescent="0.25">
      <c r="A308" s="36" t="s">
        <v>939</v>
      </c>
      <c r="B308" s="38">
        <v>999882011075987</v>
      </c>
      <c r="C308" s="36" t="s">
        <v>43</v>
      </c>
      <c r="D308" s="36" t="s">
        <v>10</v>
      </c>
      <c r="E308" s="36" t="s">
        <v>940</v>
      </c>
      <c r="F308" s="36" t="s">
        <v>103</v>
      </c>
      <c r="G308" s="36" t="s">
        <v>16</v>
      </c>
      <c r="H308" s="36">
        <v>0</v>
      </c>
      <c r="I308" s="37" t="s">
        <v>33</v>
      </c>
      <c r="J308" t="str">
        <f>VLOOKUP(F308,'[1]BASE DE DADOS'!$A:$C,3,0)</f>
        <v>DANILO GOMES DA SILVA</v>
      </c>
    </row>
    <row r="309" spans="1:10" x14ac:dyDescent="0.25">
      <c r="A309" s="36" t="s">
        <v>941</v>
      </c>
      <c r="B309" s="38">
        <v>999881955251750</v>
      </c>
      <c r="C309" s="36" t="s">
        <v>41</v>
      </c>
      <c r="D309" s="36" t="s">
        <v>10</v>
      </c>
      <c r="E309" s="36" t="s">
        <v>942</v>
      </c>
      <c r="F309" s="36" t="s">
        <v>26</v>
      </c>
      <c r="G309" s="36" t="s">
        <v>16</v>
      </c>
      <c r="H309" s="36">
        <v>0</v>
      </c>
      <c r="I309" s="37" t="s">
        <v>33</v>
      </c>
      <c r="J309" t="str">
        <f>VLOOKUP(F309,'[1]BASE DE DADOS'!$A:$C,3,0)</f>
        <v>DANILO GOMES DA SILVA</v>
      </c>
    </row>
    <row r="310" spans="1:10" x14ac:dyDescent="0.25">
      <c r="A310" s="36" t="s">
        <v>943</v>
      </c>
      <c r="B310" s="38">
        <v>999881983473759</v>
      </c>
      <c r="C310" s="36" t="s">
        <v>41</v>
      </c>
      <c r="D310" s="36" t="s">
        <v>10</v>
      </c>
      <c r="E310" s="36" t="s">
        <v>944</v>
      </c>
      <c r="F310" s="36" t="s">
        <v>24</v>
      </c>
      <c r="G310" s="36" t="s">
        <v>16</v>
      </c>
      <c r="H310" s="36">
        <v>0</v>
      </c>
      <c r="I310" s="37" t="s">
        <v>33</v>
      </c>
      <c r="J310" t="str">
        <f>VLOOKUP(F310,'[1]BASE DE DADOS'!$A:$C,3,0)</f>
        <v>THIAGO SANTOS SILVA</v>
      </c>
    </row>
    <row r="311" spans="1:10" x14ac:dyDescent="0.25">
      <c r="A311" s="36" t="s">
        <v>945</v>
      </c>
      <c r="B311" s="38">
        <v>999882073563517</v>
      </c>
      <c r="C311" s="36" t="s">
        <v>40</v>
      </c>
      <c r="D311" s="36" t="s">
        <v>10</v>
      </c>
      <c r="E311" s="36" t="s">
        <v>946</v>
      </c>
      <c r="F311" s="36" t="s">
        <v>21</v>
      </c>
      <c r="G311" s="36" t="s">
        <v>16</v>
      </c>
      <c r="H311" s="36" t="s">
        <v>947</v>
      </c>
      <c r="I311" s="37" t="s">
        <v>32</v>
      </c>
      <c r="J311" t="str">
        <f>VLOOKUP(F311,'[1]BASE DE DADOS'!$A:$C,3,0)</f>
        <v>DANILO GOMES DA SILVA</v>
      </c>
    </row>
    <row r="312" spans="1:10" x14ac:dyDescent="0.25">
      <c r="A312" s="36" t="s">
        <v>948</v>
      </c>
      <c r="B312" s="38">
        <v>999881976760610</v>
      </c>
      <c r="C312" s="36" t="s">
        <v>41</v>
      </c>
      <c r="D312" s="36" t="s">
        <v>10</v>
      </c>
      <c r="E312" s="36" t="s">
        <v>949</v>
      </c>
      <c r="F312" s="36" t="s">
        <v>39</v>
      </c>
      <c r="G312" s="36" t="s">
        <v>16</v>
      </c>
      <c r="H312" s="36">
        <v>0</v>
      </c>
      <c r="I312" s="37" t="s">
        <v>33</v>
      </c>
      <c r="J312" t="str">
        <f>VLOOKUP(F312,'[1]BASE DE DADOS'!$A:$C,3,0)</f>
        <v>DANILO GOMES DA SILVA</v>
      </c>
    </row>
    <row r="313" spans="1:10" x14ac:dyDescent="0.25">
      <c r="A313" s="36" t="s">
        <v>950</v>
      </c>
      <c r="B313" s="38">
        <v>999882031900350</v>
      </c>
      <c r="C313" s="36" t="s">
        <v>41</v>
      </c>
      <c r="D313" s="36" t="s">
        <v>10</v>
      </c>
      <c r="E313" s="36" t="s">
        <v>951</v>
      </c>
      <c r="F313" s="36" t="s">
        <v>60</v>
      </c>
      <c r="G313" s="36" t="s">
        <v>16</v>
      </c>
      <c r="H313" s="36">
        <v>0</v>
      </c>
      <c r="I313" s="37" t="s">
        <v>33</v>
      </c>
      <c r="J313" t="str">
        <f>VLOOKUP(F313,'[1]BASE DE DADOS'!$A:$C,3,0)</f>
        <v>THIAGO SANTOS SILVA</v>
      </c>
    </row>
    <row r="314" spans="1:10" x14ac:dyDescent="0.25">
      <c r="A314" s="36" t="s">
        <v>952</v>
      </c>
      <c r="B314" s="38">
        <v>999882009743768</v>
      </c>
      <c r="C314" s="36" t="s">
        <v>40</v>
      </c>
      <c r="D314" s="36" t="s">
        <v>10</v>
      </c>
      <c r="E314" s="36" t="s">
        <v>953</v>
      </c>
      <c r="F314" s="36" t="s">
        <v>17</v>
      </c>
      <c r="G314" s="36" t="s">
        <v>16</v>
      </c>
      <c r="H314" s="36">
        <v>0</v>
      </c>
      <c r="I314" s="37" t="s">
        <v>33</v>
      </c>
      <c r="J314" t="str">
        <f>VLOOKUP(F314,'[1]BASE DE DADOS'!$A:$C,3,0)</f>
        <v>DANILO GOMES DA SILVA</v>
      </c>
    </row>
    <row r="315" spans="1:10" x14ac:dyDescent="0.25">
      <c r="A315" s="36" t="s">
        <v>954</v>
      </c>
      <c r="B315" s="38">
        <v>999882073355328</v>
      </c>
      <c r="C315" s="36" t="s">
        <v>40</v>
      </c>
      <c r="D315" s="36" t="s">
        <v>10</v>
      </c>
      <c r="E315" s="36" t="s">
        <v>955</v>
      </c>
      <c r="F315" s="36" t="s">
        <v>27</v>
      </c>
      <c r="G315" s="36" t="s">
        <v>16</v>
      </c>
      <c r="H315" s="36" t="s">
        <v>956</v>
      </c>
      <c r="I315" s="37" t="s">
        <v>32</v>
      </c>
      <c r="J315" t="str">
        <f>VLOOKUP(F315,'[1]BASE DE DADOS'!$A:$C,3,0)</f>
        <v>THIAGO SANTOS SILVA</v>
      </c>
    </row>
    <row r="316" spans="1:10" x14ac:dyDescent="0.25">
      <c r="A316" s="36" t="s">
        <v>957</v>
      </c>
      <c r="B316" s="38">
        <v>999882063136799</v>
      </c>
      <c r="C316" s="36" t="s">
        <v>41</v>
      </c>
      <c r="D316" s="36" t="s">
        <v>10</v>
      </c>
      <c r="E316" s="36" t="s">
        <v>958</v>
      </c>
      <c r="F316" s="36" t="s">
        <v>110</v>
      </c>
      <c r="G316" s="36" t="s">
        <v>16</v>
      </c>
      <c r="H316" s="36">
        <v>0</v>
      </c>
      <c r="I316" s="37" t="s">
        <v>33</v>
      </c>
      <c r="J316" t="str">
        <f>VLOOKUP(F316,'[1]BASE DE DADOS'!$A:$C,3,0)</f>
        <v>THIAGO SANTOS SILVA</v>
      </c>
    </row>
    <row r="317" spans="1:10" x14ac:dyDescent="0.25">
      <c r="A317" s="36" t="s">
        <v>959</v>
      </c>
      <c r="B317" s="38">
        <v>999881994976955</v>
      </c>
      <c r="C317" s="36" t="s">
        <v>40</v>
      </c>
      <c r="D317" s="36" t="s">
        <v>10</v>
      </c>
      <c r="E317" s="36" t="s">
        <v>960</v>
      </c>
      <c r="F317" s="36" t="s">
        <v>34</v>
      </c>
      <c r="G317" s="36" t="s">
        <v>16</v>
      </c>
      <c r="H317" s="36">
        <v>0</v>
      </c>
      <c r="I317" s="37" t="s">
        <v>33</v>
      </c>
      <c r="J317" t="str">
        <f>VLOOKUP(F317,'[1]BASE DE DADOS'!$A:$C,3,0)</f>
        <v>DANILO GOMES DA SILVA</v>
      </c>
    </row>
    <row r="318" spans="1:10" x14ac:dyDescent="0.25">
      <c r="A318" s="36" t="s">
        <v>961</v>
      </c>
      <c r="B318" s="38">
        <v>999882055948957</v>
      </c>
      <c r="C318" s="36" t="s">
        <v>40</v>
      </c>
      <c r="D318" s="36" t="s">
        <v>10</v>
      </c>
      <c r="E318" s="36" t="s">
        <v>962</v>
      </c>
      <c r="F318" s="36" t="s">
        <v>38</v>
      </c>
      <c r="G318" s="36" t="s">
        <v>16</v>
      </c>
      <c r="H318" s="36">
        <v>0</v>
      </c>
      <c r="I318" s="37" t="s">
        <v>33</v>
      </c>
      <c r="J318" t="str">
        <f>VLOOKUP(F318,'[1]BASE DE DADOS'!$A:$C,3,0)</f>
        <v>THIAGO SANTOS SILVA</v>
      </c>
    </row>
    <row r="319" spans="1:10" x14ac:dyDescent="0.25">
      <c r="A319" s="36" t="s">
        <v>963</v>
      </c>
      <c r="B319" s="38">
        <v>999882019351215</v>
      </c>
      <c r="C319" s="36" t="s">
        <v>41</v>
      </c>
      <c r="D319" s="36" t="s">
        <v>10</v>
      </c>
      <c r="E319" s="36" t="s">
        <v>964</v>
      </c>
      <c r="F319" s="36" t="s">
        <v>39</v>
      </c>
      <c r="G319" s="36" t="s">
        <v>16</v>
      </c>
      <c r="H319" s="36">
        <v>0</v>
      </c>
      <c r="I319" s="37" t="s">
        <v>33</v>
      </c>
      <c r="J319" t="str">
        <f>VLOOKUP(F319,'[1]BASE DE DADOS'!$A:$C,3,0)</f>
        <v>DANILO GOMES DA SILVA</v>
      </c>
    </row>
    <row r="320" spans="1:10" x14ac:dyDescent="0.25">
      <c r="A320" s="36" t="s">
        <v>965</v>
      </c>
      <c r="B320" s="38">
        <v>999882067438295</v>
      </c>
      <c r="C320" s="36" t="s">
        <v>41</v>
      </c>
      <c r="D320" s="36" t="s">
        <v>10</v>
      </c>
      <c r="E320" s="36" t="s">
        <v>966</v>
      </c>
      <c r="F320" s="36" t="s">
        <v>126</v>
      </c>
      <c r="G320" s="36" t="s">
        <v>16</v>
      </c>
      <c r="H320" s="36">
        <v>0</v>
      </c>
      <c r="I320" s="37" t="s">
        <v>33</v>
      </c>
      <c r="J320" t="str">
        <f>VLOOKUP(F320,'[1]BASE DE DADOS'!$A:$C,3,0)</f>
        <v>DANILO GOMES DA SILVA</v>
      </c>
    </row>
    <row r="321" spans="1:10" x14ac:dyDescent="0.25">
      <c r="A321" s="36" t="s">
        <v>967</v>
      </c>
      <c r="B321" s="38">
        <v>999882013501926</v>
      </c>
      <c r="C321" s="36" t="s">
        <v>40</v>
      </c>
      <c r="D321" s="36" t="s">
        <v>10</v>
      </c>
      <c r="E321" s="36" t="s">
        <v>968</v>
      </c>
      <c r="F321" s="36" t="s">
        <v>24</v>
      </c>
      <c r="G321" s="36" t="s">
        <v>16</v>
      </c>
      <c r="H321" s="36">
        <v>0</v>
      </c>
      <c r="I321" s="37" t="s">
        <v>33</v>
      </c>
      <c r="J321" t="str">
        <f>VLOOKUP(F321,'[1]BASE DE DADOS'!$A:$C,3,0)</f>
        <v>THIAGO SANTOS SILVA</v>
      </c>
    </row>
    <row r="322" spans="1:10" x14ac:dyDescent="0.25">
      <c r="A322" s="36" t="s">
        <v>969</v>
      </c>
      <c r="B322" s="38">
        <v>999882048803898</v>
      </c>
      <c r="C322" s="36" t="s">
        <v>40</v>
      </c>
      <c r="D322" s="36" t="s">
        <v>10</v>
      </c>
      <c r="E322" s="36" t="s">
        <v>970</v>
      </c>
      <c r="F322" s="36" t="s">
        <v>103</v>
      </c>
      <c r="G322" s="36" t="s">
        <v>16</v>
      </c>
      <c r="H322" s="36" t="s">
        <v>971</v>
      </c>
      <c r="I322" s="37" t="s">
        <v>32</v>
      </c>
      <c r="J322" t="str">
        <f>VLOOKUP(F322,'[1]BASE DE DADOS'!$A:$C,3,0)</f>
        <v>DANILO GOMES DA SILVA</v>
      </c>
    </row>
    <row r="323" spans="1:10" x14ac:dyDescent="0.25">
      <c r="A323" s="36" t="s">
        <v>972</v>
      </c>
      <c r="B323" s="38">
        <v>999882033576735</v>
      </c>
      <c r="C323" s="36" t="s">
        <v>40</v>
      </c>
      <c r="D323" s="36" t="s">
        <v>10</v>
      </c>
      <c r="E323" s="36" t="s">
        <v>973</v>
      </c>
      <c r="F323" s="36" t="s">
        <v>110</v>
      </c>
      <c r="G323" s="36" t="s">
        <v>16</v>
      </c>
      <c r="H323" s="36">
        <v>0</v>
      </c>
      <c r="I323" s="37" t="s">
        <v>33</v>
      </c>
      <c r="J323" t="str">
        <f>VLOOKUP(F323,'[1]BASE DE DADOS'!$A:$C,3,0)</f>
        <v>THIAGO SANTOS SILVA</v>
      </c>
    </row>
    <row r="324" spans="1:10" x14ac:dyDescent="0.25">
      <c r="A324" s="36" t="s">
        <v>974</v>
      </c>
      <c r="B324" s="38">
        <v>999881996748900</v>
      </c>
      <c r="C324" s="36" t="s">
        <v>40</v>
      </c>
      <c r="D324" s="36" t="s">
        <v>10</v>
      </c>
      <c r="E324" s="36" t="s">
        <v>975</v>
      </c>
      <c r="F324" s="36" t="s">
        <v>61</v>
      </c>
      <c r="G324" s="36" t="s">
        <v>16</v>
      </c>
      <c r="H324" s="36">
        <v>0</v>
      </c>
      <c r="I324" s="37" t="s">
        <v>33</v>
      </c>
      <c r="J324" t="str">
        <f>VLOOKUP(F324,'[1]BASE DE DADOS'!$A:$C,3,0)</f>
        <v>THIAGO SANTOS SILVA</v>
      </c>
    </row>
    <row r="325" spans="1:10" x14ac:dyDescent="0.25">
      <c r="A325" s="36" t="s">
        <v>976</v>
      </c>
      <c r="B325" s="38">
        <v>999882020147453</v>
      </c>
      <c r="C325" s="36" t="s">
        <v>41</v>
      </c>
      <c r="D325" s="36" t="s">
        <v>10</v>
      </c>
      <c r="E325" s="36" t="s">
        <v>977</v>
      </c>
      <c r="F325" s="36" t="s">
        <v>15</v>
      </c>
      <c r="G325" s="36" t="s">
        <v>16</v>
      </c>
      <c r="H325" s="36">
        <v>0</v>
      </c>
      <c r="I325" s="37" t="s">
        <v>33</v>
      </c>
      <c r="J325" t="str">
        <f>VLOOKUP(F325,'[1]BASE DE DADOS'!$A:$C,3,0)</f>
        <v>DANILO GOMES DA SILVA</v>
      </c>
    </row>
    <row r="326" spans="1:10" x14ac:dyDescent="0.25">
      <c r="A326" s="36" t="s">
        <v>978</v>
      </c>
      <c r="B326" s="38">
        <v>999881960017164</v>
      </c>
      <c r="C326" s="36" t="s">
        <v>43</v>
      </c>
      <c r="D326" s="36" t="s">
        <v>10</v>
      </c>
      <c r="E326" s="36" t="s">
        <v>979</v>
      </c>
      <c r="F326" s="36" t="s">
        <v>112</v>
      </c>
      <c r="G326" s="36" t="s">
        <v>16</v>
      </c>
      <c r="H326" s="36">
        <v>0</v>
      </c>
      <c r="I326" s="37" t="s">
        <v>33</v>
      </c>
      <c r="J326" t="str">
        <f>VLOOKUP(F326,'[1]BASE DE DADOS'!$A:$C,3,0)</f>
        <v>DANILO GOMES DA SILVA</v>
      </c>
    </row>
    <row r="327" spans="1:10" x14ac:dyDescent="0.25">
      <c r="A327" s="36" t="s">
        <v>980</v>
      </c>
      <c r="B327" s="38">
        <v>999882023373262</v>
      </c>
      <c r="C327" s="36" t="s">
        <v>40</v>
      </c>
      <c r="D327" s="36" t="s">
        <v>10</v>
      </c>
      <c r="E327" s="36" t="s">
        <v>981</v>
      </c>
      <c r="F327" s="36" t="s">
        <v>39</v>
      </c>
      <c r="G327" s="36" t="s">
        <v>16</v>
      </c>
      <c r="H327" s="36">
        <v>0</v>
      </c>
      <c r="I327" s="37" t="s">
        <v>33</v>
      </c>
      <c r="J327" t="str">
        <f>VLOOKUP(F327,'[1]BASE DE DADOS'!$A:$C,3,0)</f>
        <v>DANILO GOMES DA SILVA</v>
      </c>
    </row>
    <row r="328" spans="1:10" x14ac:dyDescent="0.25">
      <c r="A328" s="36" t="s">
        <v>982</v>
      </c>
      <c r="B328" s="38">
        <v>999882040338845</v>
      </c>
      <c r="C328" s="36" t="s">
        <v>40</v>
      </c>
      <c r="D328" s="36" t="s">
        <v>10</v>
      </c>
      <c r="E328" s="36" t="s">
        <v>983</v>
      </c>
      <c r="F328" s="36" t="s">
        <v>39</v>
      </c>
      <c r="G328" s="36" t="s">
        <v>16</v>
      </c>
      <c r="H328" s="36">
        <v>0</v>
      </c>
      <c r="I328" s="37" t="s">
        <v>33</v>
      </c>
      <c r="J328" t="str">
        <f>VLOOKUP(F328,'[1]BASE DE DADOS'!$A:$C,3,0)</f>
        <v>DANILO GOMES DA SILVA</v>
      </c>
    </row>
    <row r="329" spans="1:10" x14ac:dyDescent="0.25">
      <c r="A329" s="36" t="s">
        <v>984</v>
      </c>
      <c r="B329" s="38">
        <v>999882036357737</v>
      </c>
      <c r="C329" s="36" t="s">
        <v>40</v>
      </c>
      <c r="D329" s="36" t="s">
        <v>10</v>
      </c>
      <c r="E329" s="36" t="s">
        <v>985</v>
      </c>
      <c r="F329" s="36" t="s">
        <v>19</v>
      </c>
      <c r="G329" s="36" t="s">
        <v>16</v>
      </c>
      <c r="H329" s="36" t="s">
        <v>986</v>
      </c>
      <c r="I329" s="37" t="s">
        <v>32</v>
      </c>
      <c r="J329" t="str">
        <f>VLOOKUP(F329,'[1]BASE DE DADOS'!$A:$C,3,0)</f>
        <v>DANILO GOMES DA SILVA</v>
      </c>
    </row>
    <row r="330" spans="1:10" x14ac:dyDescent="0.25">
      <c r="A330" s="36" t="s">
        <v>987</v>
      </c>
      <c r="B330" s="38">
        <v>999881930654345</v>
      </c>
      <c r="C330" s="36" t="s">
        <v>43</v>
      </c>
      <c r="D330" s="36" t="s">
        <v>10</v>
      </c>
      <c r="E330" s="36" t="s">
        <v>988</v>
      </c>
      <c r="F330" s="36" t="s">
        <v>28</v>
      </c>
      <c r="G330" s="36" t="s">
        <v>16</v>
      </c>
      <c r="H330" s="36">
        <v>0</v>
      </c>
      <c r="I330" s="37" t="s">
        <v>33</v>
      </c>
      <c r="J330" t="str">
        <f>VLOOKUP(F330,'[1]BASE DE DADOS'!$A:$C,3,0)</f>
        <v>DANILO GOMES DA SILVA</v>
      </c>
    </row>
    <row r="331" spans="1:10" x14ac:dyDescent="0.25">
      <c r="A331" s="36" t="s">
        <v>989</v>
      </c>
      <c r="B331" s="38">
        <v>999882010867455</v>
      </c>
      <c r="C331" s="36" t="s">
        <v>43</v>
      </c>
      <c r="D331" s="36" t="s">
        <v>10</v>
      </c>
      <c r="E331" s="36" t="s">
        <v>990</v>
      </c>
      <c r="F331" s="36" t="s">
        <v>27</v>
      </c>
      <c r="G331" s="36" t="s">
        <v>16</v>
      </c>
      <c r="H331" s="36">
        <v>0</v>
      </c>
      <c r="I331" s="37" t="s">
        <v>33</v>
      </c>
      <c r="J331" t="str">
        <f>VLOOKUP(F331,'[1]BASE DE DADOS'!$A:$C,3,0)</f>
        <v>THIAGO SANTOS SILVA</v>
      </c>
    </row>
    <row r="332" spans="1:10" x14ac:dyDescent="0.25">
      <c r="A332" s="36" t="s">
        <v>991</v>
      </c>
      <c r="B332" s="38">
        <v>999882029238753</v>
      </c>
      <c r="C332" s="36" t="s">
        <v>40</v>
      </c>
      <c r="D332" s="36" t="s">
        <v>10</v>
      </c>
      <c r="E332" s="36" t="s">
        <v>992</v>
      </c>
      <c r="F332" s="36" t="s">
        <v>23</v>
      </c>
      <c r="G332" s="36" t="s">
        <v>16</v>
      </c>
      <c r="H332" s="36" t="s">
        <v>993</v>
      </c>
      <c r="I332" s="37" t="s">
        <v>32</v>
      </c>
      <c r="J332" t="str">
        <f>VLOOKUP(F332,'[1]BASE DE DADOS'!$A:$C,3,0)</f>
        <v>DANILO GOMES DA SILVA</v>
      </c>
    </row>
    <row r="333" spans="1:10" x14ac:dyDescent="0.25">
      <c r="A333" s="36" t="s">
        <v>994</v>
      </c>
      <c r="B333" s="38">
        <v>999882004107772</v>
      </c>
      <c r="C333" s="36" t="s">
        <v>40</v>
      </c>
      <c r="D333" s="36" t="s">
        <v>10</v>
      </c>
      <c r="E333" s="36" t="s">
        <v>995</v>
      </c>
      <c r="F333" s="36" t="s">
        <v>73</v>
      </c>
      <c r="G333" s="36" t="s">
        <v>16</v>
      </c>
      <c r="H333" s="36">
        <v>0</v>
      </c>
      <c r="I333" s="37" t="s">
        <v>33</v>
      </c>
      <c r="J333" t="str">
        <f>VLOOKUP(F333,'[1]BASE DE DADOS'!$A:$C,3,0)</f>
        <v>DANILO GOMES DA SILVA</v>
      </c>
    </row>
    <row r="334" spans="1:10" x14ac:dyDescent="0.25">
      <c r="A334" s="36" t="s">
        <v>996</v>
      </c>
      <c r="B334" s="38">
        <v>999882008041675</v>
      </c>
      <c r="C334" s="36" t="s">
        <v>41</v>
      </c>
      <c r="D334" s="36" t="s">
        <v>10</v>
      </c>
      <c r="E334" s="36" t="s">
        <v>997</v>
      </c>
      <c r="F334" s="36" t="s">
        <v>118</v>
      </c>
      <c r="G334" s="36" t="s">
        <v>16</v>
      </c>
      <c r="H334" s="36">
        <v>0</v>
      </c>
      <c r="I334" s="37" t="s">
        <v>33</v>
      </c>
      <c r="J334" t="str">
        <f>VLOOKUP(F334,'[1]BASE DE DADOS'!$A:$C,3,0)</f>
        <v>DANILO GOMES DA SILVA</v>
      </c>
    </row>
    <row r="335" spans="1:10" x14ac:dyDescent="0.25">
      <c r="A335" s="36" t="s">
        <v>998</v>
      </c>
      <c r="B335" s="38">
        <v>999881980160487</v>
      </c>
      <c r="C335" s="36" t="s">
        <v>40</v>
      </c>
      <c r="D335" s="36" t="s">
        <v>10</v>
      </c>
      <c r="E335" s="36" t="s">
        <v>999</v>
      </c>
      <c r="F335" s="36" t="s">
        <v>17</v>
      </c>
      <c r="G335" s="36" t="s">
        <v>16</v>
      </c>
      <c r="H335" s="36">
        <v>0</v>
      </c>
      <c r="I335" s="37" t="s">
        <v>33</v>
      </c>
      <c r="J335" t="str">
        <f>VLOOKUP(F335,'[1]BASE DE DADOS'!$A:$C,3,0)</f>
        <v>DANILO GOMES DA SILVA</v>
      </c>
    </row>
    <row r="336" spans="1:10" x14ac:dyDescent="0.25">
      <c r="A336" s="36" t="s">
        <v>1000</v>
      </c>
      <c r="B336" s="38">
        <v>999882062042217</v>
      </c>
      <c r="C336" s="36" t="s">
        <v>40</v>
      </c>
      <c r="D336" s="36" t="s">
        <v>10</v>
      </c>
      <c r="E336" s="36" t="s">
        <v>1001</v>
      </c>
      <c r="F336" s="36" t="s">
        <v>92</v>
      </c>
      <c r="G336" s="36" t="s">
        <v>16</v>
      </c>
      <c r="H336" s="36">
        <v>0</v>
      </c>
      <c r="I336" s="37" t="s">
        <v>33</v>
      </c>
      <c r="J336" t="str">
        <f>VLOOKUP(F336,'[1]BASE DE DADOS'!$A:$C,3,0)</f>
        <v>THIAGO SANTOS SILVA</v>
      </c>
    </row>
    <row r="337" spans="1:10" x14ac:dyDescent="0.25">
      <c r="A337" s="36" t="s">
        <v>1002</v>
      </c>
      <c r="B337" s="38">
        <v>999882066019376</v>
      </c>
      <c r="C337" s="36" t="s">
        <v>40</v>
      </c>
      <c r="D337" s="36" t="s">
        <v>10</v>
      </c>
      <c r="E337" s="36" t="s">
        <v>1003</v>
      </c>
      <c r="F337" s="36" t="s">
        <v>38</v>
      </c>
      <c r="G337" s="36" t="s">
        <v>16</v>
      </c>
      <c r="H337" s="36">
        <v>0</v>
      </c>
      <c r="I337" s="37" t="s">
        <v>33</v>
      </c>
      <c r="J337" t="str">
        <f>VLOOKUP(F337,'[1]BASE DE DADOS'!$A:$C,3,0)</f>
        <v>THIAGO SANTOS SILVA</v>
      </c>
    </row>
    <row r="338" spans="1:10" x14ac:dyDescent="0.25">
      <c r="A338" s="36" t="s">
        <v>1004</v>
      </c>
      <c r="B338" s="38">
        <v>999882047581125</v>
      </c>
      <c r="C338" s="36" t="s">
        <v>40</v>
      </c>
      <c r="D338" s="36" t="s">
        <v>10</v>
      </c>
      <c r="E338" s="36" t="s">
        <v>1005</v>
      </c>
      <c r="F338" s="36" t="s">
        <v>124</v>
      </c>
      <c r="G338" s="36" t="s">
        <v>16</v>
      </c>
      <c r="H338" s="36" t="s">
        <v>1006</v>
      </c>
      <c r="I338" s="37" t="s">
        <v>32</v>
      </c>
      <c r="J338" t="str">
        <f>VLOOKUP(F338,'[1]BASE DE DADOS'!$A:$C,3,0)</f>
        <v>THIAGO SANTOS SILVA</v>
      </c>
    </row>
    <row r="339" spans="1:10" x14ac:dyDescent="0.25">
      <c r="A339" s="36" t="s">
        <v>1007</v>
      </c>
      <c r="B339" s="38">
        <v>999882007950789</v>
      </c>
      <c r="C339" s="36" t="s">
        <v>41</v>
      </c>
      <c r="D339" s="36" t="s">
        <v>10</v>
      </c>
      <c r="E339" s="36" t="s">
        <v>1008</v>
      </c>
      <c r="F339" s="36" t="s">
        <v>39</v>
      </c>
      <c r="G339" s="36" t="s">
        <v>16</v>
      </c>
      <c r="H339" s="36">
        <v>0</v>
      </c>
      <c r="I339" s="37" t="s">
        <v>33</v>
      </c>
      <c r="J339" t="str">
        <f>VLOOKUP(F339,'[1]BASE DE DADOS'!$A:$C,3,0)</f>
        <v>DANILO GOMES DA SILVA</v>
      </c>
    </row>
    <row r="340" spans="1:10" x14ac:dyDescent="0.25">
      <c r="A340" s="36" t="s">
        <v>1009</v>
      </c>
      <c r="B340" s="38">
        <v>999882041638512</v>
      </c>
      <c r="C340" s="36" t="s">
        <v>41</v>
      </c>
      <c r="D340" s="36" t="s">
        <v>10</v>
      </c>
      <c r="E340" s="36" t="s">
        <v>1010</v>
      </c>
      <c r="F340" s="36" t="s">
        <v>109</v>
      </c>
      <c r="G340" s="36" t="s">
        <v>16</v>
      </c>
      <c r="H340" s="36">
        <v>0</v>
      </c>
      <c r="I340" s="37" t="s">
        <v>33</v>
      </c>
      <c r="J340" t="str">
        <f>VLOOKUP(F340,'[1]BASE DE DADOS'!$A:$C,3,0)</f>
        <v>DANILO GOMES DA SILVA</v>
      </c>
    </row>
    <row r="341" spans="1:10" x14ac:dyDescent="0.25">
      <c r="A341" s="36" t="s">
        <v>1011</v>
      </c>
      <c r="B341" s="38">
        <v>999881973080621</v>
      </c>
      <c r="C341" s="36" t="s">
        <v>43</v>
      </c>
      <c r="D341" s="36" t="s">
        <v>10</v>
      </c>
      <c r="E341" s="36" t="s">
        <v>1012</v>
      </c>
      <c r="F341" s="36" t="s">
        <v>17</v>
      </c>
      <c r="G341" s="36" t="s">
        <v>16</v>
      </c>
      <c r="H341" s="36">
        <v>0</v>
      </c>
      <c r="I341" s="37" t="s">
        <v>33</v>
      </c>
      <c r="J341" t="str">
        <f>VLOOKUP(F341,'[1]BASE DE DADOS'!$A:$C,3,0)</f>
        <v>DANILO GOMES DA SILVA</v>
      </c>
    </row>
    <row r="342" spans="1:10" x14ac:dyDescent="0.25">
      <c r="A342" s="36" t="s">
        <v>1013</v>
      </c>
      <c r="B342" s="38">
        <v>999881988395817</v>
      </c>
      <c r="C342" s="36" t="s">
        <v>43</v>
      </c>
      <c r="D342" s="36" t="s">
        <v>10</v>
      </c>
      <c r="E342" s="36" t="s">
        <v>1014</v>
      </c>
      <c r="F342" s="36" t="s">
        <v>139</v>
      </c>
      <c r="G342" s="36" t="s">
        <v>16</v>
      </c>
      <c r="H342" s="36">
        <v>0</v>
      </c>
      <c r="I342" s="37" t="s">
        <v>33</v>
      </c>
      <c r="J342" t="str">
        <f>VLOOKUP(F342,'[1]BASE DE DADOS'!$A:$C,3,0)</f>
        <v>THIAGO SANTOS SILVA</v>
      </c>
    </row>
    <row r="343" spans="1:10" x14ac:dyDescent="0.25">
      <c r="A343" s="36" t="s">
        <v>1015</v>
      </c>
      <c r="B343" s="38">
        <v>999881991847025</v>
      </c>
      <c r="C343" s="36" t="s">
        <v>41</v>
      </c>
      <c r="D343" s="36" t="s">
        <v>10</v>
      </c>
      <c r="E343" s="36" t="s">
        <v>1016</v>
      </c>
      <c r="F343" s="36" t="s">
        <v>24</v>
      </c>
      <c r="G343" s="36" t="s">
        <v>16</v>
      </c>
      <c r="H343" s="36">
        <v>0</v>
      </c>
      <c r="I343" s="37" t="s">
        <v>33</v>
      </c>
      <c r="J343" t="str">
        <f>VLOOKUP(F343,'[1]BASE DE DADOS'!$A:$C,3,0)</f>
        <v>THIAGO SANTOS SILVA</v>
      </c>
    </row>
    <row r="344" spans="1:10" x14ac:dyDescent="0.25">
      <c r="A344" s="36" t="s">
        <v>1017</v>
      </c>
      <c r="B344" s="38">
        <v>999882005150746</v>
      </c>
      <c r="C344" s="36" t="s">
        <v>42</v>
      </c>
      <c r="D344" s="36" t="s">
        <v>10</v>
      </c>
      <c r="E344" s="36" t="s">
        <v>1018</v>
      </c>
      <c r="F344" s="36" t="s">
        <v>95</v>
      </c>
      <c r="G344" s="36" t="s">
        <v>16</v>
      </c>
      <c r="H344" s="36">
        <v>0</v>
      </c>
      <c r="I344" s="37" t="s">
        <v>33</v>
      </c>
      <c r="J344" t="str">
        <f>VLOOKUP(F344,'[1]BASE DE DADOS'!$A:$C,3,0)</f>
        <v>DANILO GOMES DA SILVA</v>
      </c>
    </row>
    <row r="345" spans="1:10" x14ac:dyDescent="0.25">
      <c r="A345" s="36" t="s">
        <v>1019</v>
      </c>
      <c r="B345" s="38">
        <v>999882028486486</v>
      </c>
      <c r="C345" s="36" t="s">
        <v>43</v>
      </c>
      <c r="D345" s="36" t="s">
        <v>10</v>
      </c>
      <c r="E345" s="36" t="s">
        <v>1020</v>
      </c>
      <c r="F345" s="36" t="s">
        <v>135</v>
      </c>
      <c r="G345" s="36" t="s">
        <v>16</v>
      </c>
      <c r="H345" s="36">
        <v>0</v>
      </c>
      <c r="I345" s="37" t="s">
        <v>33</v>
      </c>
      <c r="J345" t="str">
        <f>VLOOKUP(F345,'[1]BASE DE DADOS'!$A:$C,3,0)</f>
        <v>THIAGO SANTOS SILVA</v>
      </c>
    </row>
    <row r="346" spans="1:10" x14ac:dyDescent="0.25">
      <c r="A346" s="36" t="s">
        <v>1021</v>
      </c>
      <c r="B346" s="38">
        <v>999881954499175</v>
      </c>
      <c r="C346" s="36" t="s">
        <v>41</v>
      </c>
      <c r="D346" s="36" t="s">
        <v>10</v>
      </c>
      <c r="E346" s="36" t="s">
        <v>1022</v>
      </c>
      <c r="F346" s="36" t="s">
        <v>24</v>
      </c>
      <c r="G346" s="36" t="s">
        <v>16</v>
      </c>
      <c r="H346" s="36">
        <v>0</v>
      </c>
      <c r="I346" s="37" t="s">
        <v>33</v>
      </c>
      <c r="J346" t="str">
        <f>VLOOKUP(F346,'[1]BASE DE DADOS'!$A:$C,3,0)</f>
        <v>THIAGO SANTOS SILVA</v>
      </c>
    </row>
    <row r="347" spans="1:10" x14ac:dyDescent="0.25">
      <c r="A347" s="36" t="s">
        <v>1023</v>
      </c>
      <c r="B347" s="38">
        <v>999882035062893</v>
      </c>
      <c r="C347" s="36" t="s">
        <v>42</v>
      </c>
      <c r="D347" s="36" t="s">
        <v>10</v>
      </c>
      <c r="E347" s="36" t="s">
        <v>1024</v>
      </c>
      <c r="F347" s="36" t="s">
        <v>93</v>
      </c>
      <c r="G347" s="36" t="s">
        <v>16</v>
      </c>
      <c r="H347" s="36">
        <v>0</v>
      </c>
      <c r="I347" s="37" t="s">
        <v>33</v>
      </c>
      <c r="J347" t="str">
        <f>VLOOKUP(F347,'[1]BASE DE DADOS'!$A:$C,3,0)</f>
        <v>DANILO GOMES DA SILVA</v>
      </c>
    </row>
    <row r="348" spans="1:10" x14ac:dyDescent="0.25">
      <c r="A348" s="36" t="s">
        <v>1025</v>
      </c>
      <c r="B348" s="38">
        <v>999882031258325</v>
      </c>
      <c r="C348" s="36" t="s">
        <v>40</v>
      </c>
      <c r="D348" s="36" t="s">
        <v>10</v>
      </c>
      <c r="E348" s="36" t="s">
        <v>1026</v>
      </c>
      <c r="F348" s="36" t="s">
        <v>20</v>
      </c>
      <c r="G348" s="36" t="s">
        <v>16</v>
      </c>
      <c r="H348" s="36">
        <v>0</v>
      </c>
      <c r="I348" s="37" t="s">
        <v>33</v>
      </c>
      <c r="J348" t="str">
        <f>VLOOKUP(F348,'[1]BASE DE DADOS'!$A:$C,3,0)</f>
        <v>THIAGO SANTOS SILVA</v>
      </c>
    </row>
    <row r="349" spans="1:10" x14ac:dyDescent="0.25">
      <c r="A349" s="36" t="s">
        <v>1027</v>
      </c>
      <c r="B349" s="38">
        <v>999882004202646</v>
      </c>
      <c r="C349" s="36" t="s">
        <v>41</v>
      </c>
      <c r="D349" s="36" t="s">
        <v>10</v>
      </c>
      <c r="E349" s="36" t="s">
        <v>1028</v>
      </c>
      <c r="F349" s="36" t="s">
        <v>25</v>
      </c>
      <c r="G349" s="36" t="s">
        <v>16</v>
      </c>
      <c r="H349" s="36">
        <v>0</v>
      </c>
      <c r="I349" s="37" t="s">
        <v>33</v>
      </c>
      <c r="J349" t="str">
        <f>VLOOKUP(F349,'[1]BASE DE DADOS'!$A:$C,3,0)</f>
        <v>THIAGO SANTOS SILVA</v>
      </c>
    </row>
    <row r="350" spans="1:10" x14ac:dyDescent="0.25">
      <c r="A350" s="36" t="s">
        <v>1029</v>
      </c>
      <c r="B350" s="38">
        <v>999882061339792</v>
      </c>
      <c r="C350" s="36" t="s">
        <v>40</v>
      </c>
      <c r="D350" s="36" t="s">
        <v>10</v>
      </c>
      <c r="E350" s="36" t="s">
        <v>1030</v>
      </c>
      <c r="F350" s="36" t="s">
        <v>83</v>
      </c>
      <c r="G350" s="36" t="s">
        <v>16</v>
      </c>
      <c r="H350" s="36">
        <v>0</v>
      </c>
      <c r="I350" s="37" t="s">
        <v>33</v>
      </c>
      <c r="J350" t="str">
        <f>VLOOKUP(F350,'[1]BASE DE DADOS'!$A:$C,3,0)</f>
        <v>DANILO GOMES DA SILVA</v>
      </c>
    </row>
    <row r="351" spans="1:10" x14ac:dyDescent="0.25">
      <c r="A351" s="36" t="s">
        <v>1031</v>
      </c>
      <c r="B351" s="38">
        <v>999882043225815</v>
      </c>
      <c r="C351" s="36" t="s">
        <v>43</v>
      </c>
      <c r="D351" s="36" t="s">
        <v>10</v>
      </c>
      <c r="E351" s="36" t="s">
        <v>1032</v>
      </c>
      <c r="F351" s="36" t="s">
        <v>38</v>
      </c>
      <c r="G351" s="36" t="s">
        <v>16</v>
      </c>
      <c r="H351" s="36">
        <v>0</v>
      </c>
      <c r="I351" s="37" t="s">
        <v>33</v>
      </c>
      <c r="J351" t="str">
        <f>VLOOKUP(F351,'[1]BASE DE DADOS'!$A:$C,3,0)</f>
        <v>THIAGO SANTOS SILVA</v>
      </c>
    </row>
    <row r="352" spans="1:10" x14ac:dyDescent="0.25">
      <c r="A352" s="36" t="s">
        <v>1033</v>
      </c>
      <c r="B352" s="38">
        <v>999882026394121</v>
      </c>
      <c r="C352" s="36" t="s">
        <v>41</v>
      </c>
      <c r="D352" s="36" t="s">
        <v>10</v>
      </c>
      <c r="E352" s="36" t="s">
        <v>1034</v>
      </c>
      <c r="F352" s="36" t="s">
        <v>34</v>
      </c>
      <c r="G352" s="36" t="s">
        <v>16</v>
      </c>
      <c r="H352" s="36">
        <v>0</v>
      </c>
      <c r="I352" s="37" t="s">
        <v>33</v>
      </c>
      <c r="J352" t="str">
        <f>VLOOKUP(F352,'[1]BASE DE DADOS'!$A:$C,3,0)</f>
        <v>DANILO GOMES DA SILVA</v>
      </c>
    </row>
    <row r="353" spans="1:10" x14ac:dyDescent="0.25">
      <c r="A353" s="36" t="s">
        <v>1035</v>
      </c>
      <c r="B353" s="38">
        <v>999881877113480</v>
      </c>
      <c r="C353" s="36" t="s">
        <v>41</v>
      </c>
      <c r="D353" s="36" t="s">
        <v>10</v>
      </c>
      <c r="E353" s="36" t="s">
        <v>1036</v>
      </c>
      <c r="F353" s="36" t="s">
        <v>126</v>
      </c>
      <c r="G353" s="36" t="s">
        <v>16</v>
      </c>
      <c r="H353" s="36">
        <v>0</v>
      </c>
      <c r="I353" s="37" t="s">
        <v>33</v>
      </c>
      <c r="J353" t="str">
        <f>VLOOKUP(F353,'[1]BASE DE DADOS'!$A:$C,3,0)</f>
        <v>DANILO GOMES DA SILVA</v>
      </c>
    </row>
    <row r="354" spans="1:10" x14ac:dyDescent="0.25">
      <c r="A354" s="36" t="s">
        <v>1037</v>
      </c>
      <c r="B354" s="38">
        <v>999881946159080</v>
      </c>
      <c r="C354" s="36" t="s">
        <v>42</v>
      </c>
      <c r="D354" s="36" t="s">
        <v>10</v>
      </c>
      <c r="E354" s="36" t="s">
        <v>1038</v>
      </c>
      <c r="F354" s="36" t="s">
        <v>64</v>
      </c>
      <c r="G354" s="36" t="s">
        <v>16</v>
      </c>
      <c r="H354" s="36">
        <v>0</v>
      </c>
      <c r="I354" s="37" t="s">
        <v>33</v>
      </c>
      <c r="J354" t="str">
        <f>VLOOKUP(F354,'[1]BASE DE DADOS'!$A:$C,3,0)</f>
        <v>THIAGO SANTOS SILVA</v>
      </c>
    </row>
    <row r="355" spans="1:10" x14ac:dyDescent="0.25">
      <c r="A355" s="36" t="s">
        <v>1039</v>
      </c>
      <c r="B355" s="38">
        <v>999882030183639</v>
      </c>
      <c r="C355" s="36" t="s">
        <v>40</v>
      </c>
      <c r="D355" s="36" t="s">
        <v>10</v>
      </c>
      <c r="E355" s="36" t="s">
        <v>1040</v>
      </c>
      <c r="F355" s="36" t="s">
        <v>63</v>
      </c>
      <c r="G355" s="36" t="s">
        <v>16</v>
      </c>
      <c r="H355" s="36">
        <v>0</v>
      </c>
      <c r="I355" s="37" t="s">
        <v>33</v>
      </c>
      <c r="J355" t="str">
        <f>VLOOKUP(F355,'[1]BASE DE DADOS'!$A:$C,3,0)</f>
        <v>DANILO GOMES DA SILVA</v>
      </c>
    </row>
    <row r="356" spans="1:10" x14ac:dyDescent="0.25">
      <c r="A356" s="36" t="s">
        <v>1041</v>
      </c>
      <c r="B356" s="38">
        <v>999882014635905</v>
      </c>
      <c r="C356" s="36" t="s">
        <v>43</v>
      </c>
      <c r="D356" s="36" t="s">
        <v>10</v>
      </c>
      <c r="E356" s="36" t="s">
        <v>1042</v>
      </c>
      <c r="F356" s="36" t="s">
        <v>110</v>
      </c>
      <c r="G356" s="36" t="s">
        <v>16</v>
      </c>
      <c r="H356" s="36">
        <v>0</v>
      </c>
      <c r="I356" s="37" t="s">
        <v>33</v>
      </c>
      <c r="J356" t="str">
        <f>VLOOKUP(F356,'[1]BASE DE DADOS'!$A:$C,3,0)</f>
        <v>THIAGO SANTOS SILVA</v>
      </c>
    </row>
    <row r="357" spans="1:10" x14ac:dyDescent="0.25">
      <c r="A357" s="36" t="s">
        <v>1043</v>
      </c>
      <c r="B357" s="38">
        <v>999881996602284</v>
      </c>
      <c r="C357" s="36" t="s">
        <v>40</v>
      </c>
      <c r="D357" s="36" t="s">
        <v>10</v>
      </c>
      <c r="E357" s="36" t="s">
        <v>1044</v>
      </c>
      <c r="F357" s="36" t="s">
        <v>24</v>
      </c>
      <c r="G357" s="36" t="s">
        <v>16</v>
      </c>
      <c r="H357" s="36">
        <v>0</v>
      </c>
      <c r="I357" s="37" t="s">
        <v>33</v>
      </c>
      <c r="J357" t="str">
        <f>VLOOKUP(F357,'[1]BASE DE DADOS'!$A:$C,3,0)</f>
        <v>THIAGO SANTOS SILVA</v>
      </c>
    </row>
    <row r="358" spans="1:10" x14ac:dyDescent="0.25">
      <c r="A358" s="36" t="s">
        <v>1045</v>
      </c>
      <c r="B358" s="38">
        <v>999882063411303</v>
      </c>
      <c r="C358" s="36" t="s">
        <v>40</v>
      </c>
      <c r="D358" s="36" t="s">
        <v>10</v>
      </c>
      <c r="E358" s="36" t="s">
        <v>1046</v>
      </c>
      <c r="F358" s="36" t="s">
        <v>74</v>
      </c>
      <c r="G358" s="36" t="s">
        <v>16</v>
      </c>
      <c r="H358" s="36">
        <v>0</v>
      </c>
      <c r="I358" s="37" t="s">
        <v>33</v>
      </c>
      <c r="J358" t="str">
        <f>VLOOKUP(F358,'[1]BASE DE DADOS'!$A:$C,3,0)</f>
        <v>DANILO GOMES DA SILVA</v>
      </c>
    </row>
    <row r="359" spans="1:10" x14ac:dyDescent="0.25">
      <c r="A359" s="36" t="s">
        <v>1047</v>
      </c>
      <c r="B359" s="38">
        <v>999881906212466</v>
      </c>
      <c r="C359" s="36" t="s">
        <v>820</v>
      </c>
      <c r="D359" s="36" t="s">
        <v>10</v>
      </c>
      <c r="E359" s="36" t="s">
        <v>1048</v>
      </c>
      <c r="F359" s="36" t="s">
        <v>23</v>
      </c>
      <c r="G359" s="36" t="s">
        <v>16</v>
      </c>
      <c r="H359" s="36">
        <v>0</v>
      </c>
      <c r="I359" s="37" t="s">
        <v>33</v>
      </c>
      <c r="J359" t="str">
        <f>VLOOKUP(F359,'[1]BASE DE DADOS'!$A:$C,3,0)</f>
        <v>DANILO GOMES DA SILVA</v>
      </c>
    </row>
    <row r="360" spans="1:10" x14ac:dyDescent="0.25">
      <c r="A360" s="36" t="s">
        <v>1049</v>
      </c>
      <c r="B360" s="38">
        <v>999882065355444</v>
      </c>
      <c r="C360" s="36" t="s">
        <v>40</v>
      </c>
      <c r="D360" s="36" t="s">
        <v>10</v>
      </c>
      <c r="E360" s="36" t="s">
        <v>1050</v>
      </c>
      <c r="F360" s="36" t="s">
        <v>86</v>
      </c>
      <c r="G360" s="36" t="s">
        <v>16</v>
      </c>
      <c r="H360" s="36" t="s">
        <v>1051</v>
      </c>
      <c r="I360" s="37" t="s">
        <v>32</v>
      </c>
      <c r="J360" t="str">
        <f>VLOOKUP(F360,'[1]BASE DE DADOS'!$A:$C,3,0)</f>
        <v>THIAGO SANTOS SILVA</v>
      </c>
    </row>
    <row r="361" spans="1:10" x14ac:dyDescent="0.25">
      <c r="A361" s="36" t="s">
        <v>1052</v>
      </c>
      <c r="B361" s="38">
        <v>999882018173931</v>
      </c>
      <c r="C361" s="36" t="s">
        <v>40</v>
      </c>
      <c r="D361" s="36" t="s">
        <v>10</v>
      </c>
      <c r="E361" s="36" t="s">
        <v>1053</v>
      </c>
      <c r="F361" s="36" t="s">
        <v>35</v>
      </c>
      <c r="G361" s="36" t="s">
        <v>16</v>
      </c>
      <c r="H361" s="36" t="s">
        <v>1054</v>
      </c>
      <c r="I361" s="37" t="s">
        <v>32</v>
      </c>
      <c r="J361" t="str">
        <f>VLOOKUP(F361,'[1]BASE DE DADOS'!$A:$C,3,0)</f>
        <v>DANILO GOMES DA SILVA</v>
      </c>
    </row>
    <row r="362" spans="1:10" x14ac:dyDescent="0.25">
      <c r="A362" s="36" t="s">
        <v>1055</v>
      </c>
      <c r="B362" s="38">
        <v>999882054649900</v>
      </c>
      <c r="C362" s="36" t="s">
        <v>40</v>
      </c>
      <c r="D362" s="36" t="s">
        <v>10</v>
      </c>
      <c r="E362" s="36" t="s">
        <v>1056</v>
      </c>
      <c r="F362" s="36" t="s">
        <v>74</v>
      </c>
      <c r="G362" s="36" t="s">
        <v>16</v>
      </c>
      <c r="H362" s="36">
        <v>0</v>
      </c>
      <c r="I362" s="37" t="s">
        <v>33</v>
      </c>
      <c r="J362" t="str">
        <f>VLOOKUP(F362,'[1]BASE DE DADOS'!$A:$C,3,0)</f>
        <v>DANILO GOMES DA SILVA</v>
      </c>
    </row>
    <row r="363" spans="1:10" x14ac:dyDescent="0.25">
      <c r="A363" s="36" t="s">
        <v>1057</v>
      </c>
      <c r="B363" s="38">
        <v>999882024635688</v>
      </c>
      <c r="C363" s="36" t="s">
        <v>41</v>
      </c>
      <c r="D363" s="36" t="s">
        <v>10</v>
      </c>
      <c r="E363" s="36" t="s">
        <v>1058</v>
      </c>
      <c r="F363" s="36" t="s">
        <v>39</v>
      </c>
      <c r="G363" s="36" t="s">
        <v>16</v>
      </c>
      <c r="H363" s="36">
        <v>0</v>
      </c>
      <c r="I363" s="37" t="s">
        <v>33</v>
      </c>
      <c r="J363" t="str">
        <f>VLOOKUP(F363,'[1]BASE DE DADOS'!$A:$C,3,0)</f>
        <v>DANILO GOMES DA SILVA</v>
      </c>
    </row>
    <row r="364" spans="1:10" x14ac:dyDescent="0.25">
      <c r="A364" s="36" t="s">
        <v>1059</v>
      </c>
      <c r="B364" s="38">
        <v>999881951116521</v>
      </c>
      <c r="C364" s="36" t="s">
        <v>40</v>
      </c>
      <c r="D364" s="36" t="s">
        <v>10</v>
      </c>
      <c r="E364" s="36" t="s">
        <v>1060</v>
      </c>
      <c r="F364" s="36" t="s">
        <v>78</v>
      </c>
      <c r="G364" s="36" t="s">
        <v>16</v>
      </c>
      <c r="H364" s="36" t="s">
        <v>1061</v>
      </c>
      <c r="I364" s="37" t="s">
        <v>32</v>
      </c>
      <c r="J364" t="str">
        <f>VLOOKUP(F364,'[1]BASE DE DADOS'!$A:$C,3,0)</f>
        <v>DANILO GOMES DA SILVA</v>
      </c>
    </row>
    <row r="365" spans="1:10" x14ac:dyDescent="0.25">
      <c r="A365" s="36" t="s">
        <v>1062</v>
      </c>
      <c r="B365" s="38">
        <v>999882071742675</v>
      </c>
      <c r="C365" s="36" t="s">
        <v>40</v>
      </c>
      <c r="D365" s="36" t="s">
        <v>10</v>
      </c>
      <c r="E365" s="36" t="s">
        <v>1063</v>
      </c>
      <c r="F365" s="36" t="s">
        <v>113</v>
      </c>
      <c r="G365" s="36" t="s">
        <v>16</v>
      </c>
      <c r="H365" s="36">
        <v>0</v>
      </c>
      <c r="I365" s="37" t="s">
        <v>33</v>
      </c>
      <c r="J365" t="str">
        <f>VLOOKUP(F365,'[1]BASE DE DADOS'!$A:$C,3,0)</f>
        <v>DANILO GOMES DA SILVA</v>
      </c>
    </row>
    <row r="366" spans="1:10" x14ac:dyDescent="0.25">
      <c r="A366" s="36" t="s">
        <v>1064</v>
      </c>
      <c r="B366" s="38">
        <v>999881943701592</v>
      </c>
      <c r="C366" s="36" t="s">
        <v>40</v>
      </c>
      <c r="D366" s="36" t="s">
        <v>10</v>
      </c>
      <c r="E366" s="36" t="s">
        <v>1065</v>
      </c>
      <c r="F366" s="36" t="s">
        <v>109</v>
      </c>
      <c r="G366" s="36" t="s">
        <v>16</v>
      </c>
      <c r="H366" s="36">
        <v>0</v>
      </c>
      <c r="I366" s="37" t="s">
        <v>33</v>
      </c>
      <c r="J366" t="str">
        <f>VLOOKUP(F366,'[1]BASE DE DADOS'!$A:$C,3,0)</f>
        <v>DANILO GOMES DA SILVA</v>
      </c>
    </row>
    <row r="367" spans="1:10" x14ac:dyDescent="0.25">
      <c r="A367" s="36" t="s">
        <v>1066</v>
      </c>
      <c r="B367" s="38">
        <v>999881978150540</v>
      </c>
      <c r="C367" s="36" t="s">
        <v>40</v>
      </c>
      <c r="D367" s="36" t="s">
        <v>10</v>
      </c>
      <c r="E367" s="36" t="s">
        <v>1067</v>
      </c>
      <c r="F367" s="36" t="s">
        <v>38</v>
      </c>
      <c r="G367" s="36" t="s">
        <v>16</v>
      </c>
      <c r="H367" s="36">
        <v>0</v>
      </c>
      <c r="I367" s="37" t="s">
        <v>33</v>
      </c>
      <c r="J367" t="str">
        <f>VLOOKUP(F367,'[1]BASE DE DADOS'!$A:$C,3,0)</f>
        <v>THIAGO SANTOS SILVA</v>
      </c>
    </row>
    <row r="368" spans="1:10" x14ac:dyDescent="0.25">
      <c r="A368" s="36" t="s">
        <v>1068</v>
      </c>
      <c r="B368" s="38">
        <v>999882062884143</v>
      </c>
      <c r="C368" s="36" t="s">
        <v>41</v>
      </c>
      <c r="D368" s="36" t="s">
        <v>10</v>
      </c>
      <c r="E368" s="36" t="s">
        <v>1069</v>
      </c>
      <c r="F368" s="36" t="s">
        <v>25</v>
      </c>
      <c r="G368" s="36" t="s">
        <v>16</v>
      </c>
      <c r="H368" s="36">
        <v>0</v>
      </c>
      <c r="I368" s="37" t="s">
        <v>33</v>
      </c>
      <c r="J368" t="str">
        <f>VLOOKUP(F368,'[1]BASE DE DADOS'!$A:$C,3,0)</f>
        <v>THIAGO SANTOS SILVA</v>
      </c>
    </row>
    <row r="369" spans="1:10" x14ac:dyDescent="0.25">
      <c r="A369" s="36" t="s">
        <v>1070</v>
      </c>
      <c r="B369" s="38">
        <v>999882053881015</v>
      </c>
      <c r="C369" s="36" t="s">
        <v>40</v>
      </c>
      <c r="D369" s="36" t="s">
        <v>10</v>
      </c>
      <c r="E369" s="36" t="s">
        <v>1071</v>
      </c>
      <c r="F369" s="36" t="s">
        <v>125</v>
      </c>
      <c r="G369" s="36" t="s">
        <v>16</v>
      </c>
      <c r="H369" s="36">
        <v>0</v>
      </c>
      <c r="I369" s="37" t="s">
        <v>33</v>
      </c>
      <c r="J369" t="str">
        <f>VLOOKUP(F369,'[1]BASE DE DADOS'!$A:$C,3,0)</f>
        <v>THIAGO SANTOS SILVA</v>
      </c>
    </row>
    <row r="370" spans="1:10" x14ac:dyDescent="0.25">
      <c r="A370" s="36" t="s">
        <v>1072</v>
      </c>
      <c r="B370" s="38">
        <v>999882061917774</v>
      </c>
      <c r="C370" s="36" t="s">
        <v>41</v>
      </c>
      <c r="D370" s="36" t="s">
        <v>10</v>
      </c>
      <c r="E370" s="36" t="s">
        <v>1073</v>
      </c>
      <c r="F370" s="36" t="s">
        <v>25</v>
      </c>
      <c r="G370" s="36" t="s">
        <v>16</v>
      </c>
      <c r="H370" s="36">
        <v>0</v>
      </c>
      <c r="I370" s="37" t="s">
        <v>33</v>
      </c>
      <c r="J370" t="str">
        <f>VLOOKUP(F370,'[1]BASE DE DADOS'!$A:$C,3,0)</f>
        <v>THIAGO SANTOS SILVA</v>
      </c>
    </row>
    <row r="371" spans="1:10" x14ac:dyDescent="0.25">
      <c r="A371" s="36" t="s">
        <v>1074</v>
      </c>
      <c r="B371" s="38">
        <v>999882015712625</v>
      </c>
      <c r="C371" s="36" t="s">
        <v>42</v>
      </c>
      <c r="D371" s="36" t="s">
        <v>10</v>
      </c>
      <c r="E371" s="36" t="s">
        <v>1075</v>
      </c>
      <c r="F371" s="36" t="s">
        <v>24</v>
      </c>
      <c r="G371" s="36" t="s">
        <v>16</v>
      </c>
      <c r="H371" s="36" t="s">
        <v>899</v>
      </c>
      <c r="I371" s="37" t="s">
        <v>32</v>
      </c>
      <c r="J371" t="str">
        <f>VLOOKUP(F371,'[1]BASE DE DADOS'!$A:$C,3,0)</f>
        <v>THIAGO SANTOS SILVA</v>
      </c>
    </row>
    <row r="372" spans="1:10" x14ac:dyDescent="0.25">
      <c r="A372" s="36" t="s">
        <v>1076</v>
      </c>
      <c r="B372" s="38">
        <v>999881994333584</v>
      </c>
      <c r="C372" s="36" t="s">
        <v>40</v>
      </c>
      <c r="D372" s="36" t="s">
        <v>10</v>
      </c>
      <c r="E372" s="36" t="s">
        <v>1077</v>
      </c>
      <c r="F372" s="36" t="s">
        <v>97</v>
      </c>
      <c r="G372" s="36" t="s">
        <v>16</v>
      </c>
      <c r="H372" s="36" t="s">
        <v>1078</v>
      </c>
      <c r="I372" s="37" t="s">
        <v>32</v>
      </c>
      <c r="J372" t="str">
        <f>VLOOKUP(F372,'[1]BASE DE DADOS'!$A:$C,3,0)</f>
        <v>DANILO GOMES DA SILVA</v>
      </c>
    </row>
    <row r="373" spans="1:10" x14ac:dyDescent="0.25">
      <c r="A373" s="36" t="s">
        <v>1079</v>
      </c>
      <c r="B373" s="38">
        <v>999882064609048</v>
      </c>
      <c r="C373" s="36" t="s">
        <v>40</v>
      </c>
      <c r="D373" s="36" t="s">
        <v>10</v>
      </c>
      <c r="E373" s="36" t="s">
        <v>1080</v>
      </c>
      <c r="F373" s="36" t="s">
        <v>145</v>
      </c>
      <c r="G373" s="36" t="s">
        <v>16</v>
      </c>
      <c r="H373" s="36">
        <v>0</v>
      </c>
      <c r="I373" s="37" t="s">
        <v>33</v>
      </c>
      <c r="J373" t="str">
        <f>VLOOKUP(F373,'[1]BASE DE DADOS'!$A:$C,3,0)</f>
        <v>THIAGO SANTOS SILVA</v>
      </c>
    </row>
    <row r="374" spans="1:10" x14ac:dyDescent="0.25">
      <c r="A374" s="36" t="s">
        <v>1081</v>
      </c>
      <c r="B374" s="38">
        <v>999882009036025</v>
      </c>
      <c r="C374" s="36" t="s">
        <v>43</v>
      </c>
      <c r="D374" s="36" t="s">
        <v>10</v>
      </c>
      <c r="E374" s="36" t="s">
        <v>1082</v>
      </c>
      <c r="F374" s="36" t="s">
        <v>44</v>
      </c>
      <c r="G374" s="36" t="s">
        <v>16</v>
      </c>
      <c r="H374" s="36">
        <v>0</v>
      </c>
      <c r="I374" s="37" t="s">
        <v>33</v>
      </c>
      <c r="J374" t="str">
        <f>VLOOKUP(F374,'[1]BASE DE DADOS'!$A:$C,3,0)</f>
        <v>THIAGO SANTOS SILVA</v>
      </c>
    </row>
    <row r="375" spans="1:10" x14ac:dyDescent="0.25">
      <c r="A375" s="36" t="s">
        <v>1083</v>
      </c>
      <c r="B375" s="38">
        <v>999882006850070</v>
      </c>
      <c r="C375" s="36" t="s">
        <v>43</v>
      </c>
      <c r="D375" s="36" t="s">
        <v>10</v>
      </c>
      <c r="E375" s="36" t="s">
        <v>1084</v>
      </c>
      <c r="F375" s="36" t="s">
        <v>34</v>
      </c>
      <c r="G375" s="36" t="s">
        <v>16</v>
      </c>
      <c r="H375" s="36">
        <v>0</v>
      </c>
      <c r="I375" s="37" t="s">
        <v>33</v>
      </c>
      <c r="J375" t="str">
        <f>VLOOKUP(F375,'[1]BASE DE DADOS'!$A:$C,3,0)</f>
        <v>DANILO GOMES DA SILVA</v>
      </c>
    </row>
    <row r="376" spans="1:10" x14ac:dyDescent="0.25">
      <c r="A376" s="36" t="s">
        <v>1085</v>
      </c>
      <c r="B376" s="38">
        <v>999882055443509</v>
      </c>
      <c r="C376" s="36" t="s">
        <v>43</v>
      </c>
      <c r="D376" s="36" t="s">
        <v>10</v>
      </c>
      <c r="E376" s="36" t="s">
        <v>1086</v>
      </c>
      <c r="F376" s="36" t="s">
        <v>140</v>
      </c>
      <c r="G376" s="36" t="s">
        <v>16</v>
      </c>
      <c r="H376" s="36">
        <v>0</v>
      </c>
      <c r="I376" s="37" t="s">
        <v>33</v>
      </c>
      <c r="J376" t="str">
        <f>VLOOKUP(F376,'[1]BASE DE DADOS'!$A:$C,3,0)</f>
        <v>THIAGO SANTOS SILVA</v>
      </c>
    </row>
    <row r="377" spans="1:10" x14ac:dyDescent="0.25">
      <c r="A377" s="36" t="s">
        <v>1087</v>
      </c>
      <c r="B377" s="38">
        <v>999882000336336</v>
      </c>
      <c r="C377" s="36" t="s">
        <v>42</v>
      </c>
      <c r="D377" s="36" t="s">
        <v>10</v>
      </c>
      <c r="E377" s="36" t="s">
        <v>1088</v>
      </c>
      <c r="F377" s="36" t="s">
        <v>39</v>
      </c>
      <c r="G377" s="36" t="s">
        <v>16</v>
      </c>
      <c r="H377" s="36">
        <v>0</v>
      </c>
      <c r="I377" s="37" t="s">
        <v>33</v>
      </c>
      <c r="J377" t="str">
        <f>VLOOKUP(F377,'[1]BASE DE DADOS'!$A:$C,3,0)</f>
        <v>DANILO GOMES DA SILVA</v>
      </c>
    </row>
    <row r="378" spans="1:10" x14ac:dyDescent="0.25">
      <c r="A378" s="36" t="s">
        <v>1089</v>
      </c>
      <c r="B378" s="38">
        <v>999882005396685</v>
      </c>
      <c r="C378" s="36" t="s">
        <v>43</v>
      </c>
      <c r="D378" s="36" t="s">
        <v>10</v>
      </c>
      <c r="E378" s="36" t="s">
        <v>1090</v>
      </c>
      <c r="F378" s="36" t="s">
        <v>36</v>
      </c>
      <c r="G378" s="36" t="s">
        <v>16</v>
      </c>
      <c r="H378" s="36">
        <v>0</v>
      </c>
      <c r="I378" s="37" t="s">
        <v>33</v>
      </c>
      <c r="J378" t="str">
        <f>VLOOKUP(F378,'[1]BASE DE DADOS'!$A:$C,3,0)</f>
        <v>DANILO GOMES DA SILVA</v>
      </c>
    </row>
    <row r="379" spans="1:10" x14ac:dyDescent="0.25">
      <c r="A379" s="36" t="s">
        <v>1091</v>
      </c>
      <c r="B379" s="38">
        <v>999882065089065</v>
      </c>
      <c r="C379" s="36" t="s">
        <v>43</v>
      </c>
      <c r="D379" s="36" t="s">
        <v>10</v>
      </c>
      <c r="E379" s="36" t="s">
        <v>1092</v>
      </c>
      <c r="F379" s="36" t="s">
        <v>76</v>
      </c>
      <c r="G379" s="36" t="s">
        <v>16</v>
      </c>
      <c r="H379" s="36">
        <v>0</v>
      </c>
      <c r="I379" s="37" t="s">
        <v>33</v>
      </c>
      <c r="J379" t="str">
        <f>VLOOKUP(F379,'[1]BASE DE DADOS'!$A:$C,3,0)</f>
        <v>DANILO GOMES DA SILVA</v>
      </c>
    </row>
    <row r="380" spans="1:10" x14ac:dyDescent="0.25">
      <c r="A380" s="36" t="s">
        <v>1093</v>
      </c>
      <c r="B380" s="38">
        <v>999882007224474</v>
      </c>
      <c r="C380" s="36" t="s">
        <v>40</v>
      </c>
      <c r="D380" s="36" t="s">
        <v>10</v>
      </c>
      <c r="E380" s="36" t="s">
        <v>1094</v>
      </c>
      <c r="F380" s="36" t="s">
        <v>1095</v>
      </c>
      <c r="G380" s="36" t="s">
        <v>16</v>
      </c>
      <c r="H380" s="36">
        <v>0</v>
      </c>
      <c r="I380" s="37" t="s">
        <v>33</v>
      </c>
      <c r="J380" t="e">
        <f>VLOOKUP(F380,'[1]BASE DE DADOS'!$A:$C,3,0)</f>
        <v>#N/A</v>
      </c>
    </row>
    <row r="381" spans="1:10" x14ac:dyDescent="0.25">
      <c r="A381" s="36" t="s">
        <v>1096</v>
      </c>
      <c r="B381" s="38">
        <v>999881990736664</v>
      </c>
      <c r="C381" s="36" t="s">
        <v>43</v>
      </c>
      <c r="D381" s="36" t="s">
        <v>10</v>
      </c>
      <c r="E381" s="36" t="s">
        <v>1097</v>
      </c>
      <c r="F381" s="36" t="s">
        <v>70</v>
      </c>
      <c r="G381" s="36" t="s">
        <v>16</v>
      </c>
      <c r="H381" s="36">
        <v>0</v>
      </c>
      <c r="I381" s="37" t="s">
        <v>33</v>
      </c>
      <c r="J381" t="str">
        <f>VLOOKUP(F381,'[1]BASE DE DADOS'!$A:$C,3,0)</f>
        <v>THIAGO SANTOS SILVA</v>
      </c>
    </row>
    <row r="382" spans="1:10" x14ac:dyDescent="0.25">
      <c r="A382" s="36" t="s">
        <v>1098</v>
      </c>
      <c r="B382" s="38">
        <v>999882058556338</v>
      </c>
      <c r="C382" s="36" t="s">
        <v>40</v>
      </c>
      <c r="D382" s="36" t="s">
        <v>10</v>
      </c>
      <c r="E382" s="36" t="s">
        <v>1099</v>
      </c>
      <c r="F382" s="36" t="s">
        <v>122</v>
      </c>
      <c r="G382" s="36" t="s">
        <v>16</v>
      </c>
      <c r="H382" s="36">
        <v>0</v>
      </c>
      <c r="I382" s="37" t="s">
        <v>33</v>
      </c>
      <c r="J382" t="str">
        <f>VLOOKUP(F382,'[1]BASE DE DADOS'!$A:$C,3,0)</f>
        <v>DANILO GOMES DA SILVA</v>
      </c>
    </row>
    <row r="383" spans="1:10" x14ac:dyDescent="0.25">
      <c r="A383" s="36" t="s">
        <v>1100</v>
      </c>
      <c r="B383" s="38">
        <v>999882026167461</v>
      </c>
      <c r="C383" s="36" t="s">
        <v>42</v>
      </c>
      <c r="D383" s="36" t="s">
        <v>10</v>
      </c>
      <c r="E383" s="36" t="s">
        <v>1101</v>
      </c>
      <c r="F383" s="36" t="s">
        <v>26</v>
      </c>
      <c r="G383" s="36" t="s">
        <v>16</v>
      </c>
      <c r="H383" s="36">
        <v>0</v>
      </c>
      <c r="I383" s="37" t="s">
        <v>33</v>
      </c>
      <c r="J383" t="str">
        <f>VLOOKUP(F383,'[1]BASE DE DADOS'!$A:$C,3,0)</f>
        <v>DANILO GOMES DA SILVA</v>
      </c>
    </row>
    <row r="384" spans="1:10" x14ac:dyDescent="0.25">
      <c r="A384" s="36" t="s">
        <v>1102</v>
      </c>
      <c r="B384" s="38">
        <v>999882058050755</v>
      </c>
      <c r="C384" s="36" t="s">
        <v>40</v>
      </c>
      <c r="D384" s="36" t="s">
        <v>10</v>
      </c>
      <c r="E384" s="36" t="s">
        <v>1103</v>
      </c>
      <c r="F384" s="36" t="s">
        <v>26</v>
      </c>
      <c r="G384" s="36" t="s">
        <v>16</v>
      </c>
      <c r="H384" s="36" t="s">
        <v>1104</v>
      </c>
      <c r="I384" s="37" t="s">
        <v>32</v>
      </c>
      <c r="J384" t="str">
        <f>VLOOKUP(F384,'[1]BASE DE DADOS'!$A:$C,3,0)</f>
        <v>DANILO GOMES DA SILVA</v>
      </c>
    </row>
    <row r="385" spans="1:10" x14ac:dyDescent="0.25">
      <c r="A385" s="36" t="s">
        <v>1105</v>
      </c>
      <c r="B385" s="38">
        <v>999882072610601</v>
      </c>
      <c r="C385" s="36" t="s">
        <v>40</v>
      </c>
      <c r="D385" s="36" t="s">
        <v>10</v>
      </c>
      <c r="E385" s="36" t="s">
        <v>1106</v>
      </c>
      <c r="F385" s="36" t="s">
        <v>23</v>
      </c>
      <c r="G385" s="36" t="s">
        <v>16</v>
      </c>
      <c r="H385" s="36">
        <v>0</v>
      </c>
      <c r="I385" s="37" t="s">
        <v>33</v>
      </c>
      <c r="J385" t="str">
        <f>VLOOKUP(F385,'[1]BASE DE DADOS'!$A:$C,3,0)</f>
        <v>DANILO GOMES DA SILVA</v>
      </c>
    </row>
    <row r="386" spans="1:10" x14ac:dyDescent="0.25">
      <c r="A386" s="36" t="s">
        <v>1107</v>
      </c>
      <c r="B386" s="38">
        <v>999882037083735</v>
      </c>
      <c r="C386" s="36" t="s">
        <v>43</v>
      </c>
      <c r="D386" s="36" t="s">
        <v>10</v>
      </c>
      <c r="E386" s="36" t="s">
        <v>1108</v>
      </c>
      <c r="F386" s="36" t="s">
        <v>44</v>
      </c>
      <c r="G386" s="36" t="s">
        <v>16</v>
      </c>
      <c r="H386" s="36">
        <v>0</v>
      </c>
      <c r="I386" s="37" t="s">
        <v>33</v>
      </c>
      <c r="J386" t="str">
        <f>VLOOKUP(F386,'[1]BASE DE DADOS'!$A:$C,3,0)</f>
        <v>THIAGO SANTOS SILVA</v>
      </c>
    </row>
    <row r="387" spans="1:10" x14ac:dyDescent="0.25">
      <c r="A387" s="36" t="s">
        <v>1109</v>
      </c>
      <c r="B387" s="38">
        <v>999882060942234</v>
      </c>
      <c r="C387" s="36" t="s">
        <v>43</v>
      </c>
      <c r="D387" s="36" t="s">
        <v>10</v>
      </c>
      <c r="E387" s="36" t="s">
        <v>1110</v>
      </c>
      <c r="F387" s="36" t="s">
        <v>92</v>
      </c>
      <c r="G387" s="36" t="s">
        <v>16</v>
      </c>
      <c r="H387" s="36">
        <v>0</v>
      </c>
      <c r="I387" s="37" t="s">
        <v>33</v>
      </c>
      <c r="J387" t="str">
        <f>VLOOKUP(F387,'[1]BASE DE DADOS'!$A:$C,3,0)</f>
        <v>THIAGO SANTOS SILVA</v>
      </c>
    </row>
    <row r="388" spans="1:10" x14ac:dyDescent="0.25">
      <c r="A388" s="36" t="s">
        <v>1111</v>
      </c>
      <c r="B388" s="38">
        <v>999882053775715</v>
      </c>
      <c r="C388" s="36" t="s">
        <v>40</v>
      </c>
      <c r="D388" s="36" t="s">
        <v>10</v>
      </c>
      <c r="E388" s="36" t="s">
        <v>1112</v>
      </c>
      <c r="F388" s="36" t="s">
        <v>111</v>
      </c>
      <c r="G388" s="36" t="s">
        <v>16</v>
      </c>
      <c r="H388" s="36">
        <v>0</v>
      </c>
      <c r="I388" s="37" t="s">
        <v>33</v>
      </c>
      <c r="J388" t="str">
        <f>VLOOKUP(F388,'[1]BASE DE DADOS'!$A:$C,3,0)</f>
        <v>DANILO GOMES DA SILVA</v>
      </c>
    </row>
    <row r="389" spans="1:10" x14ac:dyDescent="0.25">
      <c r="A389" s="36" t="s">
        <v>1113</v>
      </c>
      <c r="B389" s="38">
        <v>999882047819177</v>
      </c>
      <c r="C389" s="36" t="s">
        <v>40</v>
      </c>
      <c r="D389" s="36" t="s">
        <v>10</v>
      </c>
      <c r="E389" s="36" t="s">
        <v>1114</v>
      </c>
      <c r="F389" s="36" t="s">
        <v>82</v>
      </c>
      <c r="G389" s="36" t="s">
        <v>16</v>
      </c>
      <c r="H389" s="36">
        <v>0</v>
      </c>
      <c r="I389" s="37" t="s">
        <v>33</v>
      </c>
      <c r="J389" t="str">
        <f>VLOOKUP(F389,'[1]BASE DE DADOS'!$A:$C,3,0)</f>
        <v>DANILO GOMES DA SILVA</v>
      </c>
    </row>
    <row r="390" spans="1:10" x14ac:dyDescent="0.25">
      <c r="A390" s="36" t="s">
        <v>1115</v>
      </c>
      <c r="B390" s="38">
        <v>999882029717801</v>
      </c>
      <c r="C390" s="36" t="s">
        <v>42</v>
      </c>
      <c r="D390" s="36" t="s">
        <v>10</v>
      </c>
      <c r="E390" s="36" t="s">
        <v>1116</v>
      </c>
      <c r="F390" s="36" t="s">
        <v>95</v>
      </c>
      <c r="G390" s="36" t="s">
        <v>16</v>
      </c>
      <c r="H390" s="36">
        <v>0</v>
      </c>
      <c r="I390" s="37" t="s">
        <v>33</v>
      </c>
      <c r="J390" t="str">
        <f>VLOOKUP(F390,'[1]BASE DE DADOS'!$A:$C,3,0)</f>
        <v>DANILO GOMES DA SILVA</v>
      </c>
    </row>
    <row r="391" spans="1:10" x14ac:dyDescent="0.25">
      <c r="A391" s="36" t="s">
        <v>1117</v>
      </c>
      <c r="B391" s="38">
        <v>999882042981821</v>
      </c>
      <c r="C391" s="36" t="s">
        <v>42</v>
      </c>
      <c r="D391" s="36" t="s">
        <v>10</v>
      </c>
      <c r="E391" s="36" t="s">
        <v>1118</v>
      </c>
      <c r="F391" s="36" t="s">
        <v>15</v>
      </c>
      <c r="G391" s="36" t="s">
        <v>16</v>
      </c>
      <c r="H391" s="36">
        <v>0</v>
      </c>
      <c r="I391" s="37" t="s">
        <v>33</v>
      </c>
      <c r="J391" t="str">
        <f>VLOOKUP(F391,'[1]BASE DE DADOS'!$A:$C,3,0)</f>
        <v>DANILO GOMES DA SILVA</v>
      </c>
    </row>
    <row r="392" spans="1:10" x14ac:dyDescent="0.25">
      <c r="A392" s="36" t="s">
        <v>1119</v>
      </c>
      <c r="B392" s="38">
        <v>999882047819177</v>
      </c>
      <c r="C392" s="36" t="s">
        <v>40</v>
      </c>
      <c r="D392" s="36" t="s">
        <v>10</v>
      </c>
      <c r="E392" s="36" t="s">
        <v>1120</v>
      </c>
      <c r="F392" s="36" t="s">
        <v>82</v>
      </c>
      <c r="G392" s="36" t="s">
        <v>16</v>
      </c>
      <c r="H392" s="36">
        <v>0</v>
      </c>
      <c r="I392" s="37" t="s">
        <v>33</v>
      </c>
      <c r="J392" t="str">
        <f>VLOOKUP(F392,'[1]BASE DE DADOS'!$A:$C,3,0)</f>
        <v>DANILO GOMES DA SILVA</v>
      </c>
    </row>
    <row r="393" spans="1:10" x14ac:dyDescent="0.25">
      <c r="A393" s="36" t="s">
        <v>1121</v>
      </c>
      <c r="B393" s="38">
        <v>999882009992351</v>
      </c>
      <c r="C393" s="36" t="s">
        <v>42</v>
      </c>
      <c r="D393" s="36" t="s">
        <v>10</v>
      </c>
      <c r="E393" s="36" t="s">
        <v>1122</v>
      </c>
      <c r="F393" s="36" t="s">
        <v>64</v>
      </c>
      <c r="G393" s="36" t="s">
        <v>16</v>
      </c>
      <c r="H393" s="36">
        <v>0</v>
      </c>
      <c r="I393" s="37" t="s">
        <v>33</v>
      </c>
      <c r="J393" t="str">
        <f>VLOOKUP(F393,'[1]BASE DE DADOS'!$A:$C,3,0)</f>
        <v>THIAGO SANTOS SILVA</v>
      </c>
    </row>
    <row r="394" spans="1:10" x14ac:dyDescent="0.25">
      <c r="A394" s="36" t="s">
        <v>1123</v>
      </c>
      <c r="B394" s="38">
        <v>999882012186247</v>
      </c>
      <c r="C394" s="36" t="s">
        <v>42</v>
      </c>
      <c r="D394" s="36" t="s">
        <v>10</v>
      </c>
      <c r="E394" s="36" t="s">
        <v>1124</v>
      </c>
      <c r="F394" s="36" t="s">
        <v>95</v>
      </c>
      <c r="G394" s="36" t="s">
        <v>16</v>
      </c>
      <c r="H394" s="36">
        <v>0</v>
      </c>
      <c r="I394" s="37" t="s">
        <v>33</v>
      </c>
      <c r="J394" t="str">
        <f>VLOOKUP(F394,'[1]BASE DE DADOS'!$A:$C,3,0)</f>
        <v>DANILO GOMES DA SILVA</v>
      </c>
    </row>
    <row r="395" spans="1:10" x14ac:dyDescent="0.25">
      <c r="A395" s="36" t="s">
        <v>1125</v>
      </c>
      <c r="B395" s="38">
        <v>999882007207403</v>
      </c>
      <c r="C395" s="36" t="s">
        <v>43</v>
      </c>
      <c r="D395" s="36" t="s">
        <v>10</v>
      </c>
      <c r="E395" s="36" t="s">
        <v>1126</v>
      </c>
      <c r="F395" s="36" t="s">
        <v>39</v>
      </c>
      <c r="G395" s="36" t="s">
        <v>16</v>
      </c>
      <c r="H395" s="36">
        <v>0</v>
      </c>
      <c r="I395" s="37" t="s">
        <v>33</v>
      </c>
      <c r="J395" t="str">
        <f>VLOOKUP(F395,'[1]BASE DE DADOS'!$A:$C,3,0)</f>
        <v>DANILO GOMES DA SILVA</v>
      </c>
    </row>
    <row r="396" spans="1:10" x14ac:dyDescent="0.25">
      <c r="A396" s="36" t="s">
        <v>1127</v>
      </c>
      <c r="B396" s="38">
        <v>999881973998417</v>
      </c>
      <c r="C396" s="36" t="s">
        <v>43</v>
      </c>
      <c r="D396" s="36" t="s">
        <v>10</v>
      </c>
      <c r="E396" s="36" t="s">
        <v>1128</v>
      </c>
      <c r="F396" s="36" t="s">
        <v>62</v>
      </c>
      <c r="G396" s="36" t="s">
        <v>16</v>
      </c>
      <c r="H396" s="36">
        <v>0</v>
      </c>
      <c r="I396" s="37" t="s">
        <v>33</v>
      </c>
      <c r="J396" t="str">
        <f>VLOOKUP(F396,'[1]BASE DE DADOS'!$A:$C,3,0)</f>
        <v>DANILO GOMES DA SILVA</v>
      </c>
    </row>
    <row r="397" spans="1:10" x14ac:dyDescent="0.25">
      <c r="A397" s="36" t="s">
        <v>1129</v>
      </c>
      <c r="B397" s="38">
        <v>999882070517938</v>
      </c>
      <c r="C397" s="36" t="s">
        <v>40</v>
      </c>
      <c r="D397" s="36" t="s">
        <v>10</v>
      </c>
      <c r="E397" s="36" t="s">
        <v>1130</v>
      </c>
      <c r="F397" s="36" t="s">
        <v>90</v>
      </c>
      <c r="G397" s="36" t="s">
        <v>16</v>
      </c>
      <c r="H397" s="36">
        <v>0</v>
      </c>
      <c r="I397" s="37" t="s">
        <v>33</v>
      </c>
      <c r="J397" t="str">
        <f>VLOOKUP(F397,'[1]BASE DE DADOS'!$A:$C,3,0)</f>
        <v>THIAGO SANTOS SILVA</v>
      </c>
    </row>
    <row r="398" spans="1:10" x14ac:dyDescent="0.25">
      <c r="A398" s="36" t="s">
        <v>1131</v>
      </c>
      <c r="B398" s="38">
        <v>999881890587422</v>
      </c>
      <c r="C398" s="36" t="s">
        <v>40</v>
      </c>
      <c r="D398" s="36" t="s">
        <v>10</v>
      </c>
      <c r="E398" s="36" t="s">
        <v>1132</v>
      </c>
      <c r="F398" s="36" t="s">
        <v>24</v>
      </c>
      <c r="G398" s="36" t="s">
        <v>16</v>
      </c>
      <c r="H398" s="36">
        <v>0</v>
      </c>
      <c r="I398" s="37" t="s">
        <v>33</v>
      </c>
      <c r="J398" t="str">
        <f>VLOOKUP(F398,'[1]BASE DE DADOS'!$A:$C,3,0)</f>
        <v>THIAGO SANTOS SILVA</v>
      </c>
    </row>
    <row r="399" spans="1:10" x14ac:dyDescent="0.25">
      <c r="A399" s="36" t="s">
        <v>1133</v>
      </c>
      <c r="B399" s="38">
        <v>999881966030453</v>
      </c>
      <c r="C399" s="36" t="s">
        <v>43</v>
      </c>
      <c r="D399" s="36" t="s">
        <v>10</v>
      </c>
      <c r="E399" s="36" t="s">
        <v>1134</v>
      </c>
      <c r="F399" s="36" t="s">
        <v>26</v>
      </c>
      <c r="G399" s="36" t="s">
        <v>16</v>
      </c>
      <c r="H399" s="36">
        <v>0</v>
      </c>
      <c r="I399" s="37" t="s">
        <v>33</v>
      </c>
      <c r="J399" t="str">
        <f>VLOOKUP(F399,'[1]BASE DE DADOS'!$A:$C,3,0)</f>
        <v>DANILO GOMES DA SILVA</v>
      </c>
    </row>
    <row r="400" spans="1:10" x14ac:dyDescent="0.25">
      <c r="A400" s="36" t="s">
        <v>1135</v>
      </c>
      <c r="B400" s="38">
        <v>999882014771255</v>
      </c>
      <c r="C400" s="36" t="s">
        <v>43</v>
      </c>
      <c r="D400" s="36" t="s">
        <v>10</v>
      </c>
      <c r="E400" s="36" t="s">
        <v>1136</v>
      </c>
      <c r="F400" s="36" t="s">
        <v>17</v>
      </c>
      <c r="G400" s="36" t="s">
        <v>16</v>
      </c>
      <c r="H400" s="36">
        <v>0</v>
      </c>
      <c r="I400" s="37" t="s">
        <v>33</v>
      </c>
      <c r="J400" t="str">
        <f>VLOOKUP(F400,'[1]BASE DE DADOS'!$A:$C,3,0)</f>
        <v>DANILO GOMES DA SILVA</v>
      </c>
    </row>
    <row r="401" spans="1:10" x14ac:dyDescent="0.25">
      <c r="A401" s="40" t="s">
        <v>1138</v>
      </c>
      <c r="B401" s="41">
        <v>999881943659268</v>
      </c>
      <c r="C401" s="40" t="s">
        <v>40</v>
      </c>
      <c r="D401" s="40" t="s">
        <v>10</v>
      </c>
      <c r="E401" s="40" t="s">
        <v>1139</v>
      </c>
      <c r="F401" s="40" t="s">
        <v>1140</v>
      </c>
      <c r="G401" s="40" t="s">
        <v>1141</v>
      </c>
      <c r="H401" s="40">
        <v>0</v>
      </c>
      <c r="I401" s="37" t="s">
        <v>33</v>
      </c>
      <c r="J401" t="str">
        <f>VLOOKUP(F401,'[1]BASE DE DADOS'!$A:$C,3,0)</f>
        <v xml:space="preserve">Alex Junior Rodrigues dos santos </v>
      </c>
    </row>
    <row r="402" spans="1:10" x14ac:dyDescent="0.25">
      <c r="A402" s="40" t="s">
        <v>1142</v>
      </c>
      <c r="B402" s="41">
        <v>999882023041011</v>
      </c>
      <c r="C402" s="40" t="s">
        <v>40</v>
      </c>
      <c r="D402" s="40" t="s">
        <v>10</v>
      </c>
      <c r="E402" s="40" t="s">
        <v>1143</v>
      </c>
      <c r="F402" s="40" t="s">
        <v>1144</v>
      </c>
      <c r="G402" s="40" t="s">
        <v>1141</v>
      </c>
      <c r="H402" s="40" t="s">
        <v>1145</v>
      </c>
      <c r="I402" s="37" t="s">
        <v>32</v>
      </c>
      <c r="J402" t="str">
        <f>VLOOKUP(F402,'[1]BASE DE DADOS'!$A:$C,3,0)</f>
        <v xml:space="preserve">Alex Junior Rodrigues dos santos </v>
      </c>
    </row>
    <row r="403" spans="1:10" x14ac:dyDescent="0.25">
      <c r="A403" s="40" t="s">
        <v>1146</v>
      </c>
      <c r="B403" s="41">
        <v>999882002983730</v>
      </c>
      <c r="C403" s="40" t="s">
        <v>40</v>
      </c>
      <c r="D403" s="40" t="s">
        <v>10</v>
      </c>
      <c r="E403" s="40" t="s">
        <v>1147</v>
      </c>
      <c r="F403" s="40" t="s">
        <v>1148</v>
      </c>
      <c r="G403" s="40" t="s">
        <v>1141</v>
      </c>
      <c r="H403" s="40">
        <v>0</v>
      </c>
      <c r="I403" s="37" t="s">
        <v>33</v>
      </c>
      <c r="J403" t="str">
        <f>VLOOKUP(F403,'[1]BASE DE DADOS'!$A:$C,3,0)</f>
        <v>Eduardo Carvalho Vieira dos Santos</v>
      </c>
    </row>
    <row r="404" spans="1:10" x14ac:dyDescent="0.25">
      <c r="A404" s="40" t="s">
        <v>1149</v>
      </c>
      <c r="B404" s="41">
        <v>999881989811334</v>
      </c>
      <c r="C404" s="40" t="s">
        <v>41</v>
      </c>
      <c r="D404" s="40" t="s">
        <v>10</v>
      </c>
      <c r="E404" s="40" t="s">
        <v>1150</v>
      </c>
      <c r="F404" s="40" t="s">
        <v>1151</v>
      </c>
      <c r="G404" s="40" t="s">
        <v>1141</v>
      </c>
      <c r="H404" s="40">
        <v>0</v>
      </c>
      <c r="I404" s="37" t="s">
        <v>33</v>
      </c>
      <c r="J404" t="str">
        <f>VLOOKUP(F404,'[1]BASE DE DADOS'!$A:$C,3,0)</f>
        <v>Hiago Vinicius Alves Dos Santos Silva</v>
      </c>
    </row>
    <row r="405" spans="1:10" x14ac:dyDescent="0.25">
      <c r="A405" s="40" t="s">
        <v>1152</v>
      </c>
      <c r="B405" s="41">
        <v>999882045054141</v>
      </c>
      <c r="C405" s="40" t="s">
        <v>40</v>
      </c>
      <c r="D405" s="40" t="s">
        <v>10</v>
      </c>
      <c r="E405" s="40" t="s">
        <v>1153</v>
      </c>
      <c r="F405" s="40" t="s">
        <v>1154</v>
      </c>
      <c r="G405" s="40" t="s">
        <v>1141</v>
      </c>
      <c r="H405" s="40" t="s">
        <v>1155</v>
      </c>
      <c r="I405" s="37" t="s">
        <v>32</v>
      </c>
      <c r="J405" t="str">
        <f>VLOOKUP(F405,'[1]BASE DE DADOS'!$A:$C,3,0)</f>
        <v>Eduardo Carvalho Vieira dos Santos</v>
      </c>
    </row>
    <row r="406" spans="1:10" x14ac:dyDescent="0.25">
      <c r="A406" s="40" t="s">
        <v>1156</v>
      </c>
      <c r="B406" s="41">
        <v>999881997355951</v>
      </c>
      <c r="C406" s="40" t="s">
        <v>40</v>
      </c>
      <c r="D406" s="40" t="s">
        <v>10</v>
      </c>
      <c r="E406" s="40" t="s">
        <v>1157</v>
      </c>
      <c r="F406" s="40" t="s">
        <v>1158</v>
      </c>
      <c r="G406" s="40" t="s">
        <v>1141</v>
      </c>
      <c r="H406" s="40">
        <v>0</v>
      </c>
      <c r="I406" s="37" t="s">
        <v>33</v>
      </c>
      <c r="J406" t="str">
        <f>VLOOKUP(F406,'[1]BASE DE DADOS'!$A:$C,3,0)</f>
        <v>Cleber Silvestre Almeida e Silva</v>
      </c>
    </row>
    <row r="407" spans="1:10" x14ac:dyDescent="0.25">
      <c r="A407" s="40" t="s">
        <v>1159</v>
      </c>
      <c r="B407" s="41">
        <v>999881972888578</v>
      </c>
      <c r="C407" s="40" t="s">
        <v>40</v>
      </c>
      <c r="D407" s="40" t="s">
        <v>10</v>
      </c>
      <c r="E407" s="40" t="s">
        <v>1160</v>
      </c>
      <c r="F407" s="40" t="s">
        <v>1161</v>
      </c>
      <c r="G407" s="40" t="s">
        <v>1141</v>
      </c>
      <c r="H407" s="40" t="s">
        <v>1162</v>
      </c>
      <c r="I407" s="37" t="s">
        <v>32</v>
      </c>
      <c r="J407" t="str">
        <f>VLOOKUP(F407,'[1]BASE DE DADOS'!$A:$C,3,0)</f>
        <v xml:space="preserve">Alex Junior Rodrigues dos santos </v>
      </c>
    </row>
    <row r="408" spans="1:10" x14ac:dyDescent="0.25">
      <c r="A408" s="40" t="s">
        <v>1163</v>
      </c>
      <c r="B408" s="41">
        <v>999881967407399</v>
      </c>
      <c r="C408" s="40" t="s">
        <v>40</v>
      </c>
      <c r="D408" s="40" t="s">
        <v>10</v>
      </c>
      <c r="E408" s="40" t="s">
        <v>1164</v>
      </c>
      <c r="F408" s="40" t="s">
        <v>1165</v>
      </c>
      <c r="G408" s="40" t="s">
        <v>1141</v>
      </c>
      <c r="H408" s="40" t="s">
        <v>1166</v>
      </c>
      <c r="I408" s="37" t="s">
        <v>32</v>
      </c>
      <c r="J408" t="str">
        <f>VLOOKUP(F408,'[1]BASE DE DADOS'!$A:$C,3,0)</f>
        <v>Eduardo Carvalho Vieira dos Santos</v>
      </c>
    </row>
    <row r="409" spans="1:10" x14ac:dyDescent="0.25">
      <c r="A409" s="40" t="s">
        <v>1167</v>
      </c>
      <c r="B409" s="41">
        <v>999882003446289</v>
      </c>
      <c r="C409" s="40" t="s">
        <v>40</v>
      </c>
      <c r="D409" s="40" t="s">
        <v>10</v>
      </c>
      <c r="E409" s="40" t="s">
        <v>1168</v>
      </c>
      <c r="F409" s="40" t="s">
        <v>1169</v>
      </c>
      <c r="G409" s="40" t="s">
        <v>1141</v>
      </c>
      <c r="H409" s="40">
        <v>0</v>
      </c>
      <c r="I409" s="37" t="s">
        <v>33</v>
      </c>
      <c r="J409" t="str">
        <f>VLOOKUP(F409,'[1]BASE DE DADOS'!$A:$C,3,0)</f>
        <v>Cleber Silvestre Almeida e Silva</v>
      </c>
    </row>
    <row r="410" spans="1:10" x14ac:dyDescent="0.25">
      <c r="A410" s="40" t="s">
        <v>1170</v>
      </c>
      <c r="B410" s="41">
        <v>999881907614469</v>
      </c>
      <c r="C410" s="40" t="s">
        <v>40</v>
      </c>
      <c r="D410" s="40" t="s">
        <v>10</v>
      </c>
      <c r="E410" s="40" t="s">
        <v>1171</v>
      </c>
      <c r="F410" s="40" t="s">
        <v>1172</v>
      </c>
      <c r="G410" s="40" t="s">
        <v>1141</v>
      </c>
      <c r="H410" s="40" t="s">
        <v>1173</v>
      </c>
      <c r="I410" s="37" t="s">
        <v>32</v>
      </c>
      <c r="J410" t="str">
        <f>VLOOKUP(F410,'[1]BASE DE DADOS'!$A:$C,3,0)</f>
        <v xml:space="preserve">Alex Junior Rodrigues dos santos </v>
      </c>
    </row>
    <row r="411" spans="1:10" x14ac:dyDescent="0.25">
      <c r="A411" s="40" t="s">
        <v>1174</v>
      </c>
      <c r="B411" s="41">
        <v>999881991229450</v>
      </c>
      <c r="C411" s="40" t="s">
        <v>40</v>
      </c>
      <c r="D411" s="40" t="s">
        <v>10</v>
      </c>
      <c r="E411" s="40" t="s">
        <v>1175</v>
      </c>
      <c r="F411" s="40" t="s">
        <v>1176</v>
      </c>
      <c r="G411" s="40" t="s">
        <v>1141</v>
      </c>
      <c r="H411" s="40" t="s">
        <v>1177</v>
      </c>
      <c r="I411" s="37" t="s">
        <v>32</v>
      </c>
      <c r="J411" t="str">
        <f>VLOOKUP(F411,'[1]BASE DE DADOS'!$A:$C,3,0)</f>
        <v>Cleber Silvestre Almeida e Silva</v>
      </c>
    </row>
    <row r="412" spans="1:10" x14ac:dyDescent="0.25">
      <c r="A412" s="40" t="s">
        <v>1178</v>
      </c>
      <c r="B412" s="41">
        <v>999882011921866</v>
      </c>
      <c r="C412" s="40" t="s">
        <v>40</v>
      </c>
      <c r="D412" s="40" t="s">
        <v>10</v>
      </c>
      <c r="E412" s="40" t="s">
        <v>1179</v>
      </c>
      <c r="F412" s="40" t="s">
        <v>1180</v>
      </c>
      <c r="G412" s="40" t="s">
        <v>1141</v>
      </c>
      <c r="H412" s="40" t="s">
        <v>1181</v>
      </c>
      <c r="I412" s="37" t="s">
        <v>32</v>
      </c>
      <c r="J412" t="str">
        <f>VLOOKUP(F412,'[1]BASE DE DADOS'!$A:$C,3,0)</f>
        <v xml:space="preserve">Alex Junior Rodrigues dos santos </v>
      </c>
    </row>
    <row r="413" spans="1:10" x14ac:dyDescent="0.25">
      <c r="A413" s="40" t="s">
        <v>1182</v>
      </c>
      <c r="B413" s="41">
        <v>999881971270315</v>
      </c>
      <c r="C413" s="40" t="s">
        <v>40</v>
      </c>
      <c r="D413" s="40" t="s">
        <v>10</v>
      </c>
      <c r="E413" s="40" t="s">
        <v>1183</v>
      </c>
      <c r="F413" s="40" t="s">
        <v>1184</v>
      </c>
      <c r="G413" s="40" t="s">
        <v>1141</v>
      </c>
      <c r="H413" s="40" t="s">
        <v>1185</v>
      </c>
      <c r="I413" s="37" t="s">
        <v>32</v>
      </c>
      <c r="J413" t="str">
        <f>VLOOKUP(F413,'[1]BASE DE DADOS'!$A:$C,3,0)</f>
        <v>Cleber Silvestre Almeida e Silva</v>
      </c>
    </row>
    <row r="414" spans="1:10" x14ac:dyDescent="0.25">
      <c r="A414" s="40" t="s">
        <v>1186</v>
      </c>
      <c r="B414" s="41">
        <v>999881994705987</v>
      </c>
      <c r="C414" s="40" t="s">
        <v>40</v>
      </c>
      <c r="D414" s="40" t="s">
        <v>10</v>
      </c>
      <c r="E414" s="40" t="s">
        <v>1187</v>
      </c>
      <c r="F414" s="40" t="s">
        <v>1188</v>
      </c>
      <c r="G414" s="40" t="s">
        <v>1141</v>
      </c>
      <c r="H414" s="40" t="s">
        <v>1189</v>
      </c>
      <c r="I414" s="37" t="s">
        <v>32</v>
      </c>
      <c r="J414" t="str">
        <f>VLOOKUP(F414,'[1]BASE DE DADOS'!$A:$C,3,0)</f>
        <v>Cleber Silvestre Almeida e Silva</v>
      </c>
    </row>
    <row r="415" spans="1:10" x14ac:dyDescent="0.25">
      <c r="A415" s="40" t="s">
        <v>1190</v>
      </c>
      <c r="B415" s="41">
        <v>999881958866648</v>
      </c>
      <c r="C415" s="40" t="s">
        <v>40</v>
      </c>
      <c r="D415" s="40" t="s">
        <v>10</v>
      </c>
      <c r="E415" s="40" t="s">
        <v>1191</v>
      </c>
      <c r="F415" s="40" t="s">
        <v>1192</v>
      </c>
      <c r="G415" s="40" t="s">
        <v>1141</v>
      </c>
      <c r="H415" s="40" t="s">
        <v>1193</v>
      </c>
      <c r="I415" s="37" t="s">
        <v>32</v>
      </c>
      <c r="J415" t="str">
        <f>VLOOKUP(F415,'[1]BASE DE DADOS'!$A:$C,3,0)</f>
        <v>Eduardo Carvalho Vieira dos Santos</v>
      </c>
    </row>
    <row r="416" spans="1:10" x14ac:dyDescent="0.25">
      <c r="A416" s="40" t="s">
        <v>1194</v>
      </c>
      <c r="B416" s="41">
        <v>999882001973825</v>
      </c>
      <c r="C416" s="40" t="s">
        <v>40</v>
      </c>
      <c r="D416" s="40" t="s">
        <v>10</v>
      </c>
      <c r="E416" s="40" t="s">
        <v>1195</v>
      </c>
      <c r="F416" s="40" t="s">
        <v>1196</v>
      </c>
      <c r="G416" s="40" t="s">
        <v>1141</v>
      </c>
      <c r="H416" s="40" t="s">
        <v>1197</v>
      </c>
      <c r="I416" s="37" t="s">
        <v>32</v>
      </c>
      <c r="J416" t="str">
        <f>VLOOKUP(F416,'[1]BASE DE DADOS'!$A:$C,3,0)</f>
        <v xml:space="preserve">Alex Junior Rodrigues dos santos </v>
      </c>
    </row>
    <row r="417" spans="1:10" x14ac:dyDescent="0.25">
      <c r="A417" s="40" t="s">
        <v>1198</v>
      </c>
      <c r="B417" s="41">
        <v>999881990550063</v>
      </c>
      <c r="C417" s="40" t="s">
        <v>40</v>
      </c>
      <c r="D417" s="40" t="s">
        <v>10</v>
      </c>
      <c r="E417" s="40" t="s">
        <v>1199</v>
      </c>
      <c r="F417" s="40" t="s">
        <v>1200</v>
      </c>
      <c r="G417" s="40" t="s">
        <v>1141</v>
      </c>
      <c r="H417" s="40" t="s">
        <v>1201</v>
      </c>
      <c r="I417" s="37" t="s">
        <v>32</v>
      </c>
      <c r="J417" t="str">
        <f>VLOOKUP(F417,'[1]BASE DE DADOS'!$A:$C,3,0)</f>
        <v>Cleber Silvestre Almeida e Silva</v>
      </c>
    </row>
    <row r="418" spans="1:10" x14ac:dyDescent="0.25">
      <c r="A418" s="40" t="s">
        <v>1202</v>
      </c>
      <c r="B418" s="41">
        <v>999881974329632</v>
      </c>
      <c r="C418" s="40" t="s">
        <v>40</v>
      </c>
      <c r="D418" s="40" t="s">
        <v>10</v>
      </c>
      <c r="E418" s="40" t="s">
        <v>1203</v>
      </c>
      <c r="F418" s="40" t="s">
        <v>1204</v>
      </c>
      <c r="G418" s="40" t="s">
        <v>1141</v>
      </c>
      <c r="H418" s="40" t="s">
        <v>1205</v>
      </c>
      <c r="I418" s="37" t="s">
        <v>32</v>
      </c>
      <c r="J418" t="str">
        <f>VLOOKUP(F418,'[1]BASE DE DADOS'!$A:$C,3,0)</f>
        <v>Hiago Vinicius Alves Dos Santos Silva</v>
      </c>
    </row>
    <row r="419" spans="1:10" x14ac:dyDescent="0.25">
      <c r="A419" s="40" t="s">
        <v>1206</v>
      </c>
      <c r="B419" s="41">
        <v>999882048208946</v>
      </c>
      <c r="C419" s="40" t="s">
        <v>40</v>
      </c>
      <c r="D419" s="40" t="s">
        <v>10</v>
      </c>
      <c r="E419" s="40" t="s">
        <v>1207</v>
      </c>
      <c r="F419" s="40" t="s">
        <v>1208</v>
      </c>
      <c r="G419" s="40" t="s">
        <v>1141</v>
      </c>
      <c r="H419" s="40" t="s">
        <v>1209</v>
      </c>
      <c r="I419" s="37" t="s">
        <v>32</v>
      </c>
      <c r="J419" t="str">
        <f>VLOOKUP(F419,'[1]BASE DE DADOS'!$A:$C,3,0)</f>
        <v>Eduardo Carvalho Vieira dos Santos</v>
      </c>
    </row>
    <row r="420" spans="1:10" x14ac:dyDescent="0.25">
      <c r="A420" s="40" t="s">
        <v>1210</v>
      </c>
      <c r="B420" s="41">
        <v>999881994891494</v>
      </c>
      <c r="C420" s="40" t="s">
        <v>40</v>
      </c>
      <c r="D420" s="40" t="s">
        <v>10</v>
      </c>
      <c r="E420" s="40" t="s">
        <v>1211</v>
      </c>
      <c r="F420" s="40" t="s">
        <v>1144</v>
      </c>
      <c r="G420" s="40" t="s">
        <v>1141</v>
      </c>
      <c r="H420" s="40">
        <v>0</v>
      </c>
      <c r="I420" s="37" t="s">
        <v>33</v>
      </c>
      <c r="J420" t="str">
        <f>VLOOKUP(F420,'[1]BASE DE DADOS'!$A:$C,3,0)</f>
        <v xml:space="preserve">Alex Junior Rodrigues dos santos </v>
      </c>
    </row>
    <row r="421" spans="1:10" x14ac:dyDescent="0.25">
      <c r="A421" s="40" t="s">
        <v>1212</v>
      </c>
      <c r="B421" s="41">
        <v>999882036926592</v>
      </c>
      <c r="C421" s="40" t="s">
        <v>40</v>
      </c>
      <c r="D421" s="40" t="s">
        <v>10</v>
      </c>
      <c r="E421" s="40" t="s">
        <v>1213</v>
      </c>
      <c r="F421" s="40" t="s">
        <v>1140</v>
      </c>
      <c r="G421" s="40" t="s">
        <v>1141</v>
      </c>
      <c r="H421" s="40" t="s">
        <v>1214</v>
      </c>
      <c r="I421" s="37" t="s">
        <v>32</v>
      </c>
      <c r="J421" t="str">
        <f>VLOOKUP(F421,'[1]BASE DE DADOS'!$A:$C,3,0)</f>
        <v xml:space="preserve">Alex Junior Rodrigues dos santos </v>
      </c>
    </row>
    <row r="422" spans="1:10" x14ac:dyDescent="0.25">
      <c r="A422" s="40" t="s">
        <v>1215</v>
      </c>
      <c r="B422" s="41">
        <v>999881958813131</v>
      </c>
      <c r="C422" s="40" t="s">
        <v>40</v>
      </c>
      <c r="D422" s="40" t="s">
        <v>10</v>
      </c>
      <c r="E422" s="40" t="s">
        <v>1216</v>
      </c>
      <c r="F422" s="40" t="s">
        <v>1217</v>
      </c>
      <c r="G422" s="40" t="s">
        <v>1141</v>
      </c>
      <c r="H422" s="40" t="s">
        <v>1218</v>
      </c>
      <c r="I422" s="37" t="s">
        <v>32</v>
      </c>
      <c r="J422" t="str">
        <f>VLOOKUP(F422,'[1]BASE DE DADOS'!$A:$C,3,0)</f>
        <v xml:space="preserve">Alex Junior Rodrigues dos santos </v>
      </c>
    </row>
    <row r="423" spans="1:10" x14ac:dyDescent="0.25">
      <c r="A423" s="40" t="s">
        <v>1219</v>
      </c>
      <c r="B423" s="41">
        <v>999882016057355</v>
      </c>
      <c r="C423" s="40" t="s">
        <v>40</v>
      </c>
      <c r="D423" s="40" t="s">
        <v>10</v>
      </c>
      <c r="E423" s="40" t="s">
        <v>1220</v>
      </c>
      <c r="F423" s="40" t="s">
        <v>1221</v>
      </c>
      <c r="G423" s="40" t="s">
        <v>1141</v>
      </c>
      <c r="H423" s="40" t="s">
        <v>1222</v>
      </c>
      <c r="I423" s="37" t="s">
        <v>32</v>
      </c>
      <c r="J423" t="str">
        <f>VLOOKUP(F423,'[1]BASE DE DADOS'!$A:$C,3,0)</f>
        <v>Cleber Silvestre Almeida e Silva</v>
      </c>
    </row>
    <row r="424" spans="1:10" x14ac:dyDescent="0.25">
      <c r="A424" s="40" t="s">
        <v>1223</v>
      </c>
      <c r="B424" s="41">
        <v>999881941064897</v>
      </c>
      <c r="C424" s="40" t="s">
        <v>40</v>
      </c>
      <c r="D424" s="40" t="s">
        <v>10</v>
      </c>
      <c r="E424" s="40" t="s">
        <v>1224</v>
      </c>
      <c r="F424" s="40" t="s">
        <v>1225</v>
      </c>
      <c r="G424" s="40" t="s">
        <v>1141</v>
      </c>
      <c r="H424" s="40">
        <v>0</v>
      </c>
      <c r="I424" s="37" t="s">
        <v>33</v>
      </c>
      <c r="J424" t="str">
        <f>VLOOKUP(F424,'[1]BASE DE DADOS'!$A:$C,3,0)</f>
        <v>Eduardo Carvalho Vieira dos Santos</v>
      </c>
    </row>
    <row r="425" spans="1:10" x14ac:dyDescent="0.25">
      <c r="A425" s="40" t="s">
        <v>1226</v>
      </c>
      <c r="B425" s="41">
        <v>999882032401662</v>
      </c>
      <c r="C425" s="40" t="s">
        <v>40</v>
      </c>
      <c r="D425" s="40" t="s">
        <v>10</v>
      </c>
      <c r="E425" s="40" t="s">
        <v>1227</v>
      </c>
      <c r="F425" s="40" t="s">
        <v>1228</v>
      </c>
      <c r="G425" s="40" t="s">
        <v>1141</v>
      </c>
      <c r="H425" s="40" t="s">
        <v>1229</v>
      </c>
      <c r="I425" s="37" t="s">
        <v>32</v>
      </c>
      <c r="J425" t="str">
        <f>VLOOKUP(F425,'[1]BASE DE DADOS'!$A:$C,3,0)</f>
        <v>Hiago Vinicius Alves Dos Santos Silva</v>
      </c>
    </row>
    <row r="426" spans="1:10" x14ac:dyDescent="0.25">
      <c r="A426" s="40" t="s">
        <v>1230</v>
      </c>
      <c r="B426" s="41">
        <v>999881981262447</v>
      </c>
      <c r="C426" s="40" t="s">
        <v>40</v>
      </c>
      <c r="D426" s="40" t="s">
        <v>10</v>
      </c>
      <c r="E426" s="40" t="s">
        <v>1231</v>
      </c>
      <c r="F426" s="40" t="s">
        <v>1232</v>
      </c>
      <c r="G426" s="40" t="s">
        <v>1141</v>
      </c>
      <c r="H426" s="40" t="s">
        <v>1233</v>
      </c>
      <c r="I426" s="37" t="s">
        <v>32</v>
      </c>
      <c r="J426" t="str">
        <f>VLOOKUP(F426,'[1]BASE DE DADOS'!$A:$C,3,0)</f>
        <v>Eduardo Carvalho Vieira dos Santos</v>
      </c>
    </row>
    <row r="427" spans="1:10" x14ac:dyDescent="0.25">
      <c r="A427" s="40" t="s">
        <v>1234</v>
      </c>
      <c r="B427" s="41">
        <v>999881987788444</v>
      </c>
      <c r="C427" s="40" t="s">
        <v>40</v>
      </c>
      <c r="D427" s="40" t="s">
        <v>10</v>
      </c>
      <c r="E427" s="40" t="s">
        <v>1235</v>
      </c>
      <c r="F427" s="40" t="s">
        <v>1236</v>
      </c>
      <c r="G427" s="40" t="s">
        <v>1141</v>
      </c>
      <c r="H427" s="40">
        <v>0</v>
      </c>
      <c r="I427" s="37" t="s">
        <v>33</v>
      </c>
      <c r="J427" t="str">
        <f>VLOOKUP(F427,'[1]BASE DE DADOS'!$A:$C,3,0)</f>
        <v>Eduardo Carvalho Vieira dos Santos</v>
      </c>
    </row>
    <row r="428" spans="1:10" x14ac:dyDescent="0.25">
      <c r="A428" s="40" t="s">
        <v>1237</v>
      </c>
      <c r="B428" s="41">
        <v>999882025354578</v>
      </c>
      <c r="C428" s="40" t="s">
        <v>40</v>
      </c>
      <c r="D428" s="40" t="s">
        <v>10</v>
      </c>
      <c r="E428" s="40" t="s">
        <v>1238</v>
      </c>
      <c r="F428" s="40" t="s">
        <v>1239</v>
      </c>
      <c r="G428" s="40" t="s">
        <v>1141</v>
      </c>
      <c r="H428" s="40" t="s">
        <v>1240</v>
      </c>
      <c r="I428" s="37" t="s">
        <v>32</v>
      </c>
      <c r="J428" t="str">
        <f>VLOOKUP(F428,'[1]BASE DE DADOS'!$A:$C,3,0)</f>
        <v>Eduardo Carvalho Vieira dos Santos</v>
      </c>
    </row>
    <row r="429" spans="1:10" x14ac:dyDescent="0.25">
      <c r="A429" s="40" t="s">
        <v>1241</v>
      </c>
      <c r="B429" s="41">
        <v>999881977663545</v>
      </c>
      <c r="C429" s="40" t="s">
        <v>40</v>
      </c>
      <c r="D429" s="40" t="s">
        <v>10</v>
      </c>
      <c r="E429" s="40" t="s">
        <v>1242</v>
      </c>
      <c r="F429" s="40" t="s">
        <v>1243</v>
      </c>
      <c r="G429" s="40" t="s">
        <v>1141</v>
      </c>
      <c r="H429" s="40" t="s">
        <v>1244</v>
      </c>
      <c r="I429" s="37" t="s">
        <v>32</v>
      </c>
      <c r="J429" t="str">
        <f>VLOOKUP(F429,'[1]BASE DE DADOS'!$A:$C,3,0)</f>
        <v>Eduardo Carvalho Vieira dos Santos</v>
      </c>
    </row>
    <row r="430" spans="1:10" x14ac:dyDescent="0.25">
      <c r="A430" s="40" t="s">
        <v>1245</v>
      </c>
      <c r="B430" s="41">
        <v>999881966456452</v>
      </c>
      <c r="C430" s="40" t="s">
        <v>40</v>
      </c>
      <c r="D430" s="40" t="s">
        <v>10</v>
      </c>
      <c r="E430" s="40" t="s">
        <v>1246</v>
      </c>
      <c r="F430" s="40" t="s">
        <v>1247</v>
      </c>
      <c r="G430" s="40" t="s">
        <v>1141</v>
      </c>
      <c r="H430" s="40" t="s">
        <v>1248</v>
      </c>
      <c r="I430" s="37" t="s">
        <v>32</v>
      </c>
      <c r="J430" t="str">
        <f>VLOOKUP(F430,'[1]BASE DE DADOS'!$A:$C,3,0)</f>
        <v>Cleber Silvestre Almeida e Silva</v>
      </c>
    </row>
    <row r="431" spans="1:10" x14ac:dyDescent="0.25">
      <c r="A431" s="40" t="s">
        <v>1249</v>
      </c>
      <c r="B431" s="41">
        <v>999881969958009</v>
      </c>
      <c r="C431" s="40" t="s">
        <v>40</v>
      </c>
      <c r="D431" s="40" t="s">
        <v>10</v>
      </c>
      <c r="E431" s="40" t="s">
        <v>1250</v>
      </c>
      <c r="F431" s="40" t="s">
        <v>1165</v>
      </c>
      <c r="G431" s="40" t="s">
        <v>1141</v>
      </c>
      <c r="H431" s="40" t="s">
        <v>1251</v>
      </c>
      <c r="I431" s="37" t="s">
        <v>32</v>
      </c>
      <c r="J431" t="str">
        <f>VLOOKUP(F431,'[1]BASE DE DADOS'!$A:$C,3,0)</f>
        <v>Eduardo Carvalho Vieira dos Santos</v>
      </c>
    </row>
    <row r="432" spans="1:10" x14ac:dyDescent="0.25">
      <c r="A432" s="40" t="s">
        <v>1252</v>
      </c>
      <c r="B432" s="41">
        <v>999881980697715</v>
      </c>
      <c r="C432" s="40" t="s">
        <v>40</v>
      </c>
      <c r="D432" s="40" t="s">
        <v>10</v>
      </c>
      <c r="E432" s="40" t="s">
        <v>1253</v>
      </c>
      <c r="F432" s="40" t="s">
        <v>1254</v>
      </c>
      <c r="G432" s="40" t="s">
        <v>1141</v>
      </c>
      <c r="H432" s="40">
        <v>0</v>
      </c>
      <c r="I432" s="37" t="s">
        <v>33</v>
      </c>
      <c r="J432" t="str">
        <f>VLOOKUP(F432,'[1]BASE DE DADOS'!$A:$C,3,0)</f>
        <v>Eduardo Carvalho Vieira dos Santos</v>
      </c>
    </row>
    <row r="433" spans="1:10" x14ac:dyDescent="0.25">
      <c r="A433" s="40" t="s">
        <v>1255</v>
      </c>
      <c r="B433" s="41">
        <v>999882005187817</v>
      </c>
      <c r="C433" s="40" t="s">
        <v>40</v>
      </c>
      <c r="D433" s="40" t="s">
        <v>10</v>
      </c>
      <c r="E433" s="40" t="s">
        <v>1256</v>
      </c>
      <c r="F433" s="40" t="s">
        <v>1225</v>
      </c>
      <c r="G433" s="40" t="s">
        <v>1141</v>
      </c>
      <c r="H433" s="40" t="s">
        <v>1257</v>
      </c>
      <c r="I433" s="37" t="s">
        <v>32</v>
      </c>
      <c r="J433" t="str">
        <f>VLOOKUP(F433,'[1]BASE DE DADOS'!$A:$C,3,0)</f>
        <v>Eduardo Carvalho Vieira dos Santos</v>
      </c>
    </row>
    <row r="434" spans="1:10" x14ac:dyDescent="0.25">
      <c r="A434" s="40" t="s">
        <v>1258</v>
      </c>
      <c r="B434" s="41">
        <v>999882018017036</v>
      </c>
      <c r="C434" s="40" t="s">
        <v>40</v>
      </c>
      <c r="D434" s="40" t="s">
        <v>10</v>
      </c>
      <c r="E434" s="40" t="s">
        <v>1259</v>
      </c>
      <c r="F434" s="40" t="s">
        <v>1243</v>
      </c>
      <c r="G434" s="40" t="s">
        <v>1141</v>
      </c>
      <c r="H434" s="40" t="s">
        <v>1260</v>
      </c>
      <c r="I434" s="37" t="s">
        <v>32</v>
      </c>
      <c r="J434" t="str">
        <f>VLOOKUP(F434,'[1]BASE DE DADOS'!$A:$C,3,0)</f>
        <v>Eduardo Carvalho Vieira dos Santos</v>
      </c>
    </row>
    <row r="435" spans="1:10" x14ac:dyDescent="0.25">
      <c r="A435" s="40" t="s">
        <v>1261</v>
      </c>
      <c r="B435" s="41">
        <v>999882001275496</v>
      </c>
      <c r="C435" s="40" t="s">
        <v>40</v>
      </c>
      <c r="D435" s="40" t="s">
        <v>10</v>
      </c>
      <c r="E435" s="40" t="s">
        <v>1262</v>
      </c>
      <c r="F435" s="40" t="s">
        <v>1263</v>
      </c>
      <c r="G435" s="40" t="s">
        <v>1141</v>
      </c>
      <c r="H435" s="40">
        <v>0</v>
      </c>
      <c r="I435" s="37" t="s">
        <v>33</v>
      </c>
      <c r="J435" t="str">
        <f>VLOOKUP(F435,'[1]BASE DE DADOS'!$A:$C,3,0)</f>
        <v>Eduardo Carvalho Vieira dos Santos</v>
      </c>
    </row>
    <row r="436" spans="1:10" x14ac:dyDescent="0.25">
      <c r="A436" s="40" t="s">
        <v>1264</v>
      </c>
      <c r="B436" s="41">
        <v>999881973426405</v>
      </c>
      <c r="C436" s="40" t="s">
        <v>40</v>
      </c>
      <c r="D436" s="40" t="s">
        <v>10</v>
      </c>
      <c r="E436" s="40" t="s">
        <v>1265</v>
      </c>
      <c r="F436" s="40" t="s">
        <v>1266</v>
      </c>
      <c r="G436" s="40" t="s">
        <v>1141</v>
      </c>
      <c r="H436" s="40" t="s">
        <v>1267</v>
      </c>
      <c r="I436" s="37" t="s">
        <v>32</v>
      </c>
      <c r="J436" t="str">
        <f>VLOOKUP(F436,'[1]BASE DE DADOS'!$A:$C,3,0)</f>
        <v>Eduardo Carvalho Vieira dos Santos</v>
      </c>
    </row>
    <row r="437" spans="1:10" x14ac:dyDescent="0.25">
      <c r="A437" s="40" t="s">
        <v>1268</v>
      </c>
      <c r="B437" s="41">
        <v>999881996130335</v>
      </c>
      <c r="C437" s="40" t="s">
        <v>40</v>
      </c>
      <c r="D437" s="40" t="s">
        <v>10</v>
      </c>
      <c r="E437" s="40" t="s">
        <v>1269</v>
      </c>
      <c r="F437" s="40" t="s">
        <v>1270</v>
      </c>
      <c r="G437" s="40" t="s">
        <v>1141</v>
      </c>
      <c r="H437" s="40" t="s">
        <v>1271</v>
      </c>
      <c r="I437" s="37" t="s">
        <v>32</v>
      </c>
      <c r="J437" t="str">
        <f>VLOOKUP(F437,'[1]BASE DE DADOS'!$A:$C,3,0)</f>
        <v xml:space="preserve">Alex Junior Rodrigues dos santos </v>
      </c>
    </row>
    <row r="438" spans="1:10" x14ac:dyDescent="0.25">
      <c r="A438" s="40" t="s">
        <v>1272</v>
      </c>
      <c r="B438" s="41">
        <v>999881996513723</v>
      </c>
      <c r="C438" s="40" t="s">
        <v>40</v>
      </c>
      <c r="D438" s="40" t="s">
        <v>10</v>
      </c>
      <c r="E438" s="40" t="s">
        <v>1273</v>
      </c>
      <c r="F438" s="40" t="s">
        <v>1274</v>
      </c>
      <c r="G438" s="40" t="s">
        <v>1141</v>
      </c>
      <c r="H438" s="40" t="s">
        <v>1275</v>
      </c>
      <c r="I438" s="37" t="s">
        <v>32</v>
      </c>
      <c r="J438" t="str">
        <f>VLOOKUP(F438,'[1]BASE DE DADOS'!$A:$C,3,0)</f>
        <v>Hiago Vinicius Alves Dos Santos Silva</v>
      </c>
    </row>
    <row r="439" spans="1:10" x14ac:dyDescent="0.25">
      <c r="A439" s="40" t="s">
        <v>1276</v>
      </c>
      <c r="B439" s="41">
        <v>999882019669938</v>
      </c>
      <c r="C439" s="40" t="s">
        <v>40</v>
      </c>
      <c r="D439" s="40" t="s">
        <v>10</v>
      </c>
      <c r="E439" s="40" t="s">
        <v>1277</v>
      </c>
      <c r="F439" s="40" t="s">
        <v>1278</v>
      </c>
      <c r="G439" s="40" t="s">
        <v>1141</v>
      </c>
      <c r="H439" s="40" t="s">
        <v>1279</v>
      </c>
      <c r="I439" s="37" t="s">
        <v>32</v>
      </c>
      <c r="J439" t="str">
        <f>VLOOKUP(F439,'[1]BASE DE DADOS'!$A:$C,3,0)</f>
        <v>Eduardo Carvalho Vieira dos Santos</v>
      </c>
    </row>
    <row r="440" spans="1:10" x14ac:dyDescent="0.25">
      <c r="A440" s="40" t="s">
        <v>1280</v>
      </c>
      <c r="B440" s="41">
        <v>999882018550209</v>
      </c>
      <c r="C440" s="40" t="s">
        <v>40</v>
      </c>
      <c r="D440" s="40" t="s">
        <v>10</v>
      </c>
      <c r="E440" s="40" t="s">
        <v>1281</v>
      </c>
      <c r="F440" s="40" t="s">
        <v>1282</v>
      </c>
      <c r="G440" s="40" t="s">
        <v>1141</v>
      </c>
      <c r="H440" s="40" t="s">
        <v>1283</v>
      </c>
      <c r="I440" s="37" t="s">
        <v>32</v>
      </c>
      <c r="J440" t="str">
        <f>VLOOKUP(F440,'[1]BASE DE DADOS'!$A:$C,3,0)</f>
        <v>Hiago Vinicius Alves Dos Santos Silva</v>
      </c>
    </row>
    <row r="441" spans="1:10" x14ac:dyDescent="0.25">
      <c r="A441" s="40" t="s">
        <v>1284</v>
      </c>
      <c r="B441" s="41">
        <v>999882039283052</v>
      </c>
      <c r="C441" s="40" t="s">
        <v>40</v>
      </c>
      <c r="D441" s="40" t="s">
        <v>10</v>
      </c>
      <c r="E441" s="40" t="s">
        <v>1285</v>
      </c>
      <c r="F441" s="40" t="s">
        <v>1286</v>
      </c>
      <c r="G441" s="40" t="s">
        <v>1141</v>
      </c>
      <c r="H441" s="40" t="s">
        <v>1287</v>
      </c>
      <c r="I441" s="37" t="s">
        <v>32</v>
      </c>
      <c r="J441" t="str">
        <f>VLOOKUP(F441,'[1]BASE DE DADOS'!$A:$C,3,0)</f>
        <v>Cleber Silvestre Almeida e Silva</v>
      </c>
    </row>
    <row r="442" spans="1:10" x14ac:dyDescent="0.25">
      <c r="A442" s="40" t="s">
        <v>1288</v>
      </c>
      <c r="B442" s="41">
        <v>999882027402542</v>
      </c>
      <c r="C442" s="40" t="s">
        <v>40</v>
      </c>
      <c r="D442" s="40" t="s">
        <v>10</v>
      </c>
      <c r="E442" s="40" t="s">
        <v>1289</v>
      </c>
      <c r="F442" s="40" t="s">
        <v>1290</v>
      </c>
      <c r="G442" s="40" t="s">
        <v>1141</v>
      </c>
      <c r="H442" s="40">
        <v>0</v>
      </c>
      <c r="I442" s="37" t="s">
        <v>33</v>
      </c>
      <c r="J442" t="str">
        <f>VLOOKUP(F442,'[1]BASE DE DADOS'!$A:$C,3,0)</f>
        <v>Eduardo Carvalho Vieira dos Santos</v>
      </c>
    </row>
    <row r="443" spans="1:10" x14ac:dyDescent="0.25">
      <c r="A443" s="40" t="s">
        <v>1291</v>
      </c>
      <c r="B443" s="41">
        <v>999882000651765</v>
      </c>
      <c r="C443" s="40" t="s">
        <v>40</v>
      </c>
      <c r="D443" s="40" t="s">
        <v>10</v>
      </c>
      <c r="E443" s="40" t="s">
        <v>1292</v>
      </c>
      <c r="F443" s="40" t="s">
        <v>1293</v>
      </c>
      <c r="G443" s="40" t="s">
        <v>1141</v>
      </c>
      <c r="H443" s="40" t="s">
        <v>1294</v>
      </c>
      <c r="I443" s="37" t="s">
        <v>32</v>
      </c>
      <c r="J443" t="str">
        <f>VLOOKUP(F443,'[1]BASE DE DADOS'!$A:$C,3,0)</f>
        <v xml:space="preserve">Alex Junior Rodrigues dos santos </v>
      </c>
    </row>
    <row r="444" spans="1:10" x14ac:dyDescent="0.25">
      <c r="A444" s="40" t="s">
        <v>1295</v>
      </c>
      <c r="B444" s="41">
        <v>999881978771739</v>
      </c>
      <c r="C444" s="40" t="s">
        <v>40</v>
      </c>
      <c r="D444" s="40" t="s">
        <v>10</v>
      </c>
      <c r="E444" s="40" t="s">
        <v>1296</v>
      </c>
      <c r="F444" s="40" t="s">
        <v>1297</v>
      </c>
      <c r="G444" s="40" t="s">
        <v>1141</v>
      </c>
      <c r="H444" s="40" t="s">
        <v>1298</v>
      </c>
      <c r="I444" s="37" t="s">
        <v>32</v>
      </c>
      <c r="J444" t="str">
        <f>VLOOKUP(F444,'[1]BASE DE DADOS'!$A:$C,3,0)</f>
        <v>Cleber Silvestre Almeida e Silva</v>
      </c>
    </row>
    <row r="445" spans="1:10" x14ac:dyDescent="0.25">
      <c r="A445" s="40" t="s">
        <v>1299</v>
      </c>
      <c r="B445" s="41">
        <v>999882024931660</v>
      </c>
      <c r="C445" s="40" t="s">
        <v>40</v>
      </c>
      <c r="D445" s="40" t="s">
        <v>10</v>
      </c>
      <c r="E445" s="40" t="s">
        <v>1300</v>
      </c>
      <c r="F445" s="40" t="s">
        <v>1232</v>
      </c>
      <c r="G445" s="40" t="s">
        <v>1141</v>
      </c>
      <c r="H445" s="40">
        <v>0</v>
      </c>
      <c r="I445" s="37" t="s">
        <v>33</v>
      </c>
      <c r="J445" t="str">
        <f>VLOOKUP(F445,'[1]BASE DE DADOS'!$A:$C,3,0)</f>
        <v>Eduardo Carvalho Vieira dos Santos</v>
      </c>
    </row>
    <row r="446" spans="1:10" x14ac:dyDescent="0.25">
      <c r="A446" s="40" t="s">
        <v>1301</v>
      </c>
      <c r="B446" s="41">
        <v>999881979835137</v>
      </c>
      <c r="C446" s="40" t="s">
        <v>40</v>
      </c>
      <c r="D446" s="40" t="s">
        <v>10</v>
      </c>
      <c r="E446" s="40" t="s">
        <v>1302</v>
      </c>
      <c r="F446" s="40" t="s">
        <v>1165</v>
      </c>
      <c r="G446" s="40" t="s">
        <v>1141</v>
      </c>
      <c r="H446" s="40" t="s">
        <v>1303</v>
      </c>
      <c r="I446" s="37" t="s">
        <v>32</v>
      </c>
      <c r="J446" t="str">
        <f>VLOOKUP(F446,'[1]BASE DE DADOS'!$A:$C,3,0)</f>
        <v>Eduardo Carvalho Vieira dos Santos</v>
      </c>
    </row>
    <row r="447" spans="1:10" x14ac:dyDescent="0.25">
      <c r="A447" s="40" t="s">
        <v>1304</v>
      </c>
      <c r="B447" s="41">
        <v>999881963785608</v>
      </c>
      <c r="C447" s="40" t="s">
        <v>40</v>
      </c>
      <c r="D447" s="40" t="s">
        <v>10</v>
      </c>
      <c r="E447" s="40" t="s">
        <v>1305</v>
      </c>
      <c r="F447" s="40" t="s">
        <v>1140</v>
      </c>
      <c r="G447" s="40" t="s">
        <v>1141</v>
      </c>
      <c r="H447" s="40" t="s">
        <v>1306</v>
      </c>
      <c r="I447" s="37" t="s">
        <v>32</v>
      </c>
      <c r="J447" t="str">
        <f>VLOOKUP(F447,'[1]BASE DE DADOS'!$A:$C,3,0)</f>
        <v xml:space="preserve">Alex Junior Rodrigues dos santos </v>
      </c>
    </row>
    <row r="448" spans="1:10" x14ac:dyDescent="0.25">
      <c r="A448" s="40" t="s">
        <v>1307</v>
      </c>
      <c r="B448" s="41">
        <v>999882027281560</v>
      </c>
      <c r="C448" s="40" t="s">
        <v>40</v>
      </c>
      <c r="D448" s="40" t="s">
        <v>10</v>
      </c>
      <c r="E448" s="40" t="s">
        <v>1308</v>
      </c>
      <c r="F448" s="40" t="s">
        <v>1309</v>
      </c>
      <c r="G448" s="40" t="s">
        <v>1141</v>
      </c>
      <c r="H448" s="40" t="s">
        <v>1310</v>
      </c>
      <c r="I448" s="37" t="s">
        <v>32</v>
      </c>
      <c r="J448" t="str">
        <f>VLOOKUP(F448,'[1]BASE DE DADOS'!$A:$C,3,0)</f>
        <v xml:space="preserve">Alex Junior Rodrigues dos santos </v>
      </c>
    </row>
    <row r="449" spans="1:10" x14ac:dyDescent="0.25">
      <c r="A449" s="40" t="s">
        <v>1311</v>
      </c>
      <c r="B449" s="41">
        <v>999881994165804</v>
      </c>
      <c r="C449" s="40" t="s">
        <v>40</v>
      </c>
      <c r="D449" s="40" t="s">
        <v>10</v>
      </c>
      <c r="E449" s="40" t="s">
        <v>1312</v>
      </c>
      <c r="F449" s="40" t="s">
        <v>1144</v>
      </c>
      <c r="G449" s="40" t="s">
        <v>1141</v>
      </c>
      <c r="H449" s="40" t="s">
        <v>1313</v>
      </c>
      <c r="I449" s="37" t="s">
        <v>32</v>
      </c>
      <c r="J449" t="str">
        <f>VLOOKUP(F449,'[1]BASE DE DADOS'!$A:$C,3,0)</f>
        <v xml:space="preserve">Alex Junior Rodrigues dos santos </v>
      </c>
    </row>
    <row r="450" spans="1:10" x14ac:dyDescent="0.25">
      <c r="A450" s="40" t="s">
        <v>1314</v>
      </c>
      <c r="B450" s="41">
        <v>999882043201231</v>
      </c>
      <c r="C450" s="40" t="s">
        <v>40</v>
      </c>
      <c r="D450" s="40" t="s">
        <v>10</v>
      </c>
      <c r="E450" s="40" t="s">
        <v>1315</v>
      </c>
      <c r="F450" s="40" t="s">
        <v>1316</v>
      </c>
      <c r="G450" s="40" t="s">
        <v>1141</v>
      </c>
      <c r="H450" s="40" t="s">
        <v>1317</v>
      </c>
      <c r="I450" s="37" t="s">
        <v>32</v>
      </c>
      <c r="J450" t="str">
        <f>VLOOKUP(F450,'[1]BASE DE DADOS'!$A:$C,3,0)</f>
        <v>Eduardo Carvalho Vieira dos Santos</v>
      </c>
    </row>
    <row r="451" spans="1:10" x14ac:dyDescent="0.25">
      <c r="A451" s="40" t="s">
        <v>1318</v>
      </c>
      <c r="B451" s="41">
        <v>999882033022890</v>
      </c>
      <c r="C451" s="40" t="s">
        <v>40</v>
      </c>
      <c r="D451" s="40" t="s">
        <v>10</v>
      </c>
      <c r="E451" s="40" t="s">
        <v>1319</v>
      </c>
      <c r="F451" s="40" t="s">
        <v>1144</v>
      </c>
      <c r="G451" s="40" t="s">
        <v>1141</v>
      </c>
      <c r="H451" s="40" t="s">
        <v>1320</v>
      </c>
      <c r="I451" s="37" t="s">
        <v>32</v>
      </c>
      <c r="J451" t="str">
        <f>VLOOKUP(F451,'[1]BASE DE DADOS'!$A:$C,3,0)</f>
        <v xml:space="preserve">Alex Junior Rodrigues dos santos </v>
      </c>
    </row>
    <row r="452" spans="1:10" x14ac:dyDescent="0.25">
      <c r="A452" s="40" t="s">
        <v>1321</v>
      </c>
      <c r="B452" s="41">
        <v>999881990358908</v>
      </c>
      <c r="C452" s="40" t="s">
        <v>40</v>
      </c>
      <c r="D452" s="40" t="s">
        <v>10</v>
      </c>
      <c r="E452" s="40" t="s">
        <v>1322</v>
      </c>
      <c r="F452" s="40" t="s">
        <v>1323</v>
      </c>
      <c r="G452" s="40" t="s">
        <v>1141</v>
      </c>
      <c r="H452" s="40" t="s">
        <v>1324</v>
      </c>
      <c r="I452" s="37" t="s">
        <v>32</v>
      </c>
      <c r="J452" t="str">
        <f>VLOOKUP(F452,'[1]BASE DE DADOS'!$A:$C,3,0)</f>
        <v>Cleber Silvestre Almeida e Silva</v>
      </c>
    </row>
    <row r="453" spans="1:10" x14ac:dyDescent="0.25">
      <c r="A453" s="40" t="s">
        <v>1325</v>
      </c>
      <c r="B453" s="41">
        <v>999882020665856</v>
      </c>
      <c r="C453" s="40" t="s">
        <v>40</v>
      </c>
      <c r="D453" s="40" t="s">
        <v>10</v>
      </c>
      <c r="E453" s="40" t="s">
        <v>1326</v>
      </c>
      <c r="F453" s="40" t="s">
        <v>1144</v>
      </c>
      <c r="G453" s="40" t="s">
        <v>1141</v>
      </c>
      <c r="H453" s="40" t="s">
        <v>1327</v>
      </c>
      <c r="I453" s="37" t="s">
        <v>32</v>
      </c>
      <c r="J453" t="str">
        <f>VLOOKUP(F453,'[1]BASE DE DADOS'!$A:$C,3,0)</f>
        <v xml:space="preserve">Alex Junior Rodrigues dos santos </v>
      </c>
    </row>
    <row r="454" spans="1:10" x14ac:dyDescent="0.25">
      <c r="A454" s="40" t="s">
        <v>1328</v>
      </c>
      <c r="B454" s="41">
        <v>999881967973134</v>
      </c>
      <c r="C454" s="40" t="s">
        <v>40</v>
      </c>
      <c r="D454" s="40" t="s">
        <v>10</v>
      </c>
      <c r="E454" s="40" t="s">
        <v>1329</v>
      </c>
      <c r="F454" s="40" t="s">
        <v>1225</v>
      </c>
      <c r="G454" s="40" t="s">
        <v>1141</v>
      </c>
      <c r="H454" s="40">
        <v>0</v>
      </c>
      <c r="I454" s="37" t="s">
        <v>33</v>
      </c>
      <c r="J454" t="str">
        <f>VLOOKUP(F454,'[1]BASE DE DADOS'!$A:$C,3,0)</f>
        <v>Eduardo Carvalho Vieira dos Santos</v>
      </c>
    </row>
    <row r="455" spans="1:10" x14ac:dyDescent="0.25">
      <c r="A455" s="40" t="s">
        <v>1330</v>
      </c>
      <c r="B455" s="41">
        <v>999882009385703</v>
      </c>
      <c r="C455" s="40" t="s">
        <v>40</v>
      </c>
      <c r="D455" s="40" t="s">
        <v>10</v>
      </c>
      <c r="E455" s="40" t="s">
        <v>1331</v>
      </c>
      <c r="F455" s="40" t="s">
        <v>1332</v>
      </c>
      <c r="G455" s="40" t="s">
        <v>1141</v>
      </c>
      <c r="H455" s="40" t="s">
        <v>1333</v>
      </c>
      <c r="I455" s="37" t="s">
        <v>32</v>
      </c>
      <c r="J455" t="str">
        <f>VLOOKUP(F455,'[1]BASE DE DADOS'!$A:$C,3,0)</f>
        <v xml:space="preserve">Alex Junior Rodrigues dos santos </v>
      </c>
    </row>
    <row r="456" spans="1:10" x14ac:dyDescent="0.25">
      <c r="A456" s="40" t="s">
        <v>1334</v>
      </c>
      <c r="B456" s="41">
        <v>999882023832520</v>
      </c>
      <c r="C456" s="40" t="s">
        <v>40</v>
      </c>
      <c r="D456" s="40" t="s">
        <v>10</v>
      </c>
      <c r="E456" s="40" t="s">
        <v>1335</v>
      </c>
      <c r="F456" s="40" t="s">
        <v>1270</v>
      </c>
      <c r="G456" s="40" t="s">
        <v>1141</v>
      </c>
      <c r="H456" s="40" t="s">
        <v>1336</v>
      </c>
      <c r="I456" s="37" t="s">
        <v>32</v>
      </c>
      <c r="J456" t="str">
        <f>VLOOKUP(F456,'[1]BASE DE DADOS'!$A:$C,3,0)</f>
        <v xml:space="preserve">Alex Junior Rodrigues dos santos </v>
      </c>
    </row>
    <row r="457" spans="1:10" x14ac:dyDescent="0.25">
      <c r="A457" s="40" t="s">
        <v>1337</v>
      </c>
      <c r="B457" s="41">
        <v>999882023340951</v>
      </c>
      <c r="C457" s="40" t="s">
        <v>40</v>
      </c>
      <c r="D457" s="40" t="s">
        <v>10</v>
      </c>
      <c r="E457" s="40" t="s">
        <v>1338</v>
      </c>
      <c r="F457" s="40" t="s">
        <v>1339</v>
      </c>
      <c r="G457" s="40" t="s">
        <v>1141</v>
      </c>
      <c r="H457" s="40" t="s">
        <v>1340</v>
      </c>
      <c r="I457" s="37" t="s">
        <v>32</v>
      </c>
      <c r="J457" t="str">
        <f>VLOOKUP(F457,'[1]BASE DE DADOS'!$A:$C,3,0)</f>
        <v>Eduardo Carvalho Vieira dos Santos</v>
      </c>
    </row>
    <row r="458" spans="1:10" x14ac:dyDescent="0.25">
      <c r="A458" s="40" t="s">
        <v>1341</v>
      </c>
      <c r="B458" s="41">
        <v>999882015276985</v>
      </c>
      <c r="C458" s="40" t="s">
        <v>41</v>
      </c>
      <c r="D458" s="40" t="s">
        <v>10</v>
      </c>
      <c r="E458" s="40" t="s">
        <v>1342</v>
      </c>
      <c r="F458" s="40" t="s">
        <v>1323</v>
      </c>
      <c r="G458" s="40" t="s">
        <v>1141</v>
      </c>
      <c r="H458" s="40" t="s">
        <v>1343</v>
      </c>
      <c r="I458" s="37" t="s">
        <v>32</v>
      </c>
      <c r="J458" t="str">
        <f>VLOOKUP(F458,'[1]BASE DE DADOS'!$A:$C,3,0)</f>
        <v>Cleber Silvestre Almeida e Silva</v>
      </c>
    </row>
    <row r="459" spans="1:10" x14ac:dyDescent="0.25">
      <c r="A459" s="40" t="s">
        <v>1344</v>
      </c>
      <c r="B459" s="41">
        <v>999881961004125</v>
      </c>
      <c r="C459" s="40" t="s">
        <v>40</v>
      </c>
      <c r="D459" s="40" t="s">
        <v>10</v>
      </c>
      <c r="E459" s="40" t="s">
        <v>1345</v>
      </c>
      <c r="F459" s="40" t="s">
        <v>1339</v>
      </c>
      <c r="G459" s="40" t="s">
        <v>1141</v>
      </c>
      <c r="H459" s="40">
        <v>0</v>
      </c>
      <c r="I459" s="37" t="s">
        <v>33</v>
      </c>
      <c r="J459" t="str">
        <f>VLOOKUP(F459,'[1]BASE DE DADOS'!$A:$C,3,0)</f>
        <v>Eduardo Carvalho Vieira dos Santos</v>
      </c>
    </row>
    <row r="460" spans="1:10" x14ac:dyDescent="0.25">
      <c r="A460" s="40" t="s">
        <v>1346</v>
      </c>
      <c r="B460" s="41">
        <v>999882025627007</v>
      </c>
      <c r="C460" s="40" t="s">
        <v>40</v>
      </c>
      <c r="D460" s="40" t="s">
        <v>10</v>
      </c>
      <c r="E460" s="40" t="s">
        <v>1347</v>
      </c>
      <c r="F460" s="40" t="s">
        <v>1348</v>
      </c>
      <c r="G460" s="40" t="s">
        <v>1141</v>
      </c>
      <c r="H460" s="40" t="s">
        <v>1349</v>
      </c>
      <c r="I460" s="37" t="s">
        <v>32</v>
      </c>
      <c r="J460" t="str">
        <f>VLOOKUP(F460,'[1]BASE DE DADOS'!$A:$C,3,0)</f>
        <v>Eduardo Carvalho Vieira dos Santos</v>
      </c>
    </row>
    <row r="461" spans="1:10" x14ac:dyDescent="0.25">
      <c r="A461" s="40" t="s">
        <v>1350</v>
      </c>
      <c r="B461" s="41">
        <v>999881968954839</v>
      </c>
      <c r="C461" s="40" t="s">
        <v>40</v>
      </c>
      <c r="D461" s="40" t="s">
        <v>10</v>
      </c>
      <c r="E461" s="40" t="s">
        <v>1351</v>
      </c>
      <c r="F461" s="40" t="s">
        <v>1352</v>
      </c>
      <c r="G461" s="40" t="s">
        <v>1141</v>
      </c>
      <c r="H461" s="40" t="s">
        <v>1353</v>
      </c>
      <c r="I461" s="37" t="s">
        <v>32</v>
      </c>
      <c r="J461" t="str">
        <f>VLOOKUP(F461,'[1]BASE DE DADOS'!$A:$C,3,0)</f>
        <v>Hiago Vinicius Alves Dos Santos Silva</v>
      </c>
    </row>
    <row r="462" spans="1:10" x14ac:dyDescent="0.25">
      <c r="A462" s="40" t="s">
        <v>1354</v>
      </c>
      <c r="B462" s="41">
        <v>999882025215915</v>
      </c>
      <c r="C462" s="40" t="s">
        <v>40</v>
      </c>
      <c r="D462" s="40" t="s">
        <v>10</v>
      </c>
      <c r="E462" s="40" t="s">
        <v>1355</v>
      </c>
      <c r="F462" s="40" t="s">
        <v>1356</v>
      </c>
      <c r="G462" s="40" t="s">
        <v>1141</v>
      </c>
      <c r="H462" s="40" t="s">
        <v>1357</v>
      </c>
      <c r="I462" s="37" t="s">
        <v>32</v>
      </c>
      <c r="J462" t="str">
        <f>VLOOKUP(F462,'[1]BASE DE DADOS'!$A:$C,3,0)</f>
        <v>Cleber Silvestre Almeida e Silva</v>
      </c>
    </row>
    <row r="463" spans="1:10" x14ac:dyDescent="0.25">
      <c r="A463" s="40" t="s">
        <v>1358</v>
      </c>
      <c r="B463" s="41">
        <v>999882016825077</v>
      </c>
      <c r="C463" s="40" t="s">
        <v>40</v>
      </c>
      <c r="D463" s="40" t="s">
        <v>10</v>
      </c>
      <c r="E463" s="40" t="s">
        <v>1359</v>
      </c>
      <c r="F463" s="40" t="s">
        <v>1221</v>
      </c>
      <c r="G463" s="40" t="s">
        <v>1141</v>
      </c>
      <c r="H463" s="40" t="s">
        <v>1360</v>
      </c>
      <c r="I463" s="37" t="s">
        <v>32</v>
      </c>
      <c r="J463" t="str">
        <f>VLOOKUP(F463,'[1]BASE DE DADOS'!$A:$C,3,0)</f>
        <v>Cleber Silvestre Almeida e Silva</v>
      </c>
    </row>
    <row r="464" spans="1:10" x14ac:dyDescent="0.25">
      <c r="A464" s="40" t="s">
        <v>1361</v>
      </c>
      <c r="B464" s="41">
        <v>999881960664842</v>
      </c>
      <c r="C464" s="40" t="s">
        <v>40</v>
      </c>
      <c r="D464" s="40" t="s">
        <v>10</v>
      </c>
      <c r="E464" s="40" t="s">
        <v>1362</v>
      </c>
      <c r="F464" s="40" t="s">
        <v>1232</v>
      </c>
      <c r="G464" s="40" t="s">
        <v>1141</v>
      </c>
      <c r="H464" s="40" t="s">
        <v>1363</v>
      </c>
      <c r="I464" s="37" t="s">
        <v>32</v>
      </c>
      <c r="J464" t="str">
        <f>VLOOKUP(F464,'[1]BASE DE DADOS'!$A:$C,3,0)</f>
        <v>Eduardo Carvalho Vieira dos Santos</v>
      </c>
    </row>
    <row r="465" spans="1:10" x14ac:dyDescent="0.25">
      <c r="A465" s="40" t="s">
        <v>1364</v>
      </c>
      <c r="B465" s="41">
        <v>999882026434327</v>
      </c>
      <c r="C465" s="40" t="s">
        <v>40</v>
      </c>
      <c r="D465" s="40" t="s">
        <v>10</v>
      </c>
      <c r="E465" s="40" t="s">
        <v>1365</v>
      </c>
      <c r="F465" s="40" t="s">
        <v>1221</v>
      </c>
      <c r="G465" s="40" t="s">
        <v>1141</v>
      </c>
      <c r="H465" s="40" t="s">
        <v>1366</v>
      </c>
      <c r="I465" s="37" t="s">
        <v>32</v>
      </c>
      <c r="J465" t="str">
        <f>VLOOKUP(F465,'[1]BASE DE DADOS'!$A:$C,3,0)</f>
        <v>Cleber Silvestre Almeida e Silva</v>
      </c>
    </row>
    <row r="466" spans="1:10" x14ac:dyDescent="0.25">
      <c r="A466" s="40" t="s">
        <v>1367</v>
      </c>
      <c r="B466" s="41">
        <v>999882020479272</v>
      </c>
      <c r="C466" s="40" t="s">
        <v>40</v>
      </c>
      <c r="D466" s="40" t="s">
        <v>10</v>
      </c>
      <c r="E466" s="40" t="s">
        <v>1368</v>
      </c>
      <c r="F466" s="40" t="s">
        <v>1369</v>
      </c>
      <c r="G466" s="40" t="s">
        <v>1141</v>
      </c>
      <c r="H466" s="40" t="s">
        <v>1370</v>
      </c>
      <c r="I466" s="37" t="s">
        <v>32</v>
      </c>
      <c r="J466" t="str">
        <f>VLOOKUP(F466,'[1]BASE DE DADOS'!$A:$C,3,0)</f>
        <v>Eduardo Carvalho Vieira dos Santos</v>
      </c>
    </row>
    <row r="467" spans="1:10" x14ac:dyDescent="0.25">
      <c r="A467" s="40" t="s">
        <v>1371</v>
      </c>
      <c r="B467" s="41">
        <v>999882006200837</v>
      </c>
      <c r="C467" s="40" t="s">
        <v>40</v>
      </c>
      <c r="D467" s="40" t="s">
        <v>10</v>
      </c>
      <c r="E467" s="40" t="s">
        <v>1372</v>
      </c>
      <c r="F467" s="40" t="s">
        <v>1373</v>
      </c>
      <c r="G467" s="40" t="s">
        <v>1141</v>
      </c>
      <c r="H467" s="40" t="s">
        <v>1374</v>
      </c>
      <c r="I467" s="37" t="s">
        <v>32</v>
      </c>
      <c r="J467" t="str">
        <f>VLOOKUP(F467,'[1]BASE DE DADOS'!$A:$C,3,0)</f>
        <v>Hiago Vinicius Alves Dos Santos Silva</v>
      </c>
    </row>
    <row r="468" spans="1:10" x14ac:dyDescent="0.25">
      <c r="A468" s="40" t="s">
        <v>1375</v>
      </c>
      <c r="B468" s="41">
        <v>999882025322432</v>
      </c>
      <c r="C468" s="40" t="s">
        <v>41</v>
      </c>
      <c r="D468" s="40" t="s">
        <v>10</v>
      </c>
      <c r="E468" s="40" t="s">
        <v>1376</v>
      </c>
      <c r="F468" s="40" t="s">
        <v>1266</v>
      </c>
      <c r="G468" s="40" t="s">
        <v>1141</v>
      </c>
      <c r="H468" s="40">
        <v>0</v>
      </c>
      <c r="I468" s="37" t="s">
        <v>33</v>
      </c>
      <c r="J468" t="str">
        <f>VLOOKUP(F468,'[1]BASE DE DADOS'!$A:$C,3,0)</f>
        <v>Eduardo Carvalho Vieira dos Santos</v>
      </c>
    </row>
    <row r="469" spans="1:10" x14ac:dyDescent="0.25">
      <c r="A469" s="40" t="s">
        <v>1377</v>
      </c>
      <c r="B469" s="41">
        <v>999881967719490</v>
      </c>
      <c r="C469" s="40" t="s">
        <v>40</v>
      </c>
      <c r="D469" s="40" t="s">
        <v>10</v>
      </c>
      <c r="E469" s="40" t="s">
        <v>1378</v>
      </c>
      <c r="F469" s="40" t="s">
        <v>1232</v>
      </c>
      <c r="G469" s="40" t="s">
        <v>1141</v>
      </c>
      <c r="H469" s="40" t="s">
        <v>1363</v>
      </c>
      <c r="I469" s="37" t="s">
        <v>32</v>
      </c>
      <c r="J469" t="str">
        <f>VLOOKUP(F469,'[1]BASE DE DADOS'!$A:$C,3,0)</f>
        <v>Eduardo Carvalho Vieira dos Santos</v>
      </c>
    </row>
    <row r="470" spans="1:10" x14ac:dyDescent="0.25">
      <c r="A470" s="40" t="s">
        <v>1379</v>
      </c>
      <c r="B470" s="41">
        <v>999882036364697</v>
      </c>
      <c r="C470" s="40" t="s">
        <v>41</v>
      </c>
      <c r="D470" s="40" t="s">
        <v>10</v>
      </c>
      <c r="E470" s="40" t="s">
        <v>1380</v>
      </c>
      <c r="F470" s="40" t="s">
        <v>1243</v>
      </c>
      <c r="G470" s="40" t="s">
        <v>1141</v>
      </c>
      <c r="H470" s="40" t="s">
        <v>1381</v>
      </c>
      <c r="I470" s="37" t="s">
        <v>32</v>
      </c>
      <c r="J470" t="str">
        <f>VLOOKUP(F470,'[1]BASE DE DADOS'!$A:$C,3,0)</f>
        <v>Eduardo Carvalho Vieira dos Santos</v>
      </c>
    </row>
    <row r="471" spans="1:10" x14ac:dyDescent="0.25">
      <c r="A471" s="40" t="s">
        <v>1382</v>
      </c>
      <c r="B471" s="41">
        <v>999882010718965</v>
      </c>
      <c r="C471" s="40" t="s">
        <v>40</v>
      </c>
      <c r="D471" s="40" t="s">
        <v>10</v>
      </c>
      <c r="E471" s="40" t="s">
        <v>1383</v>
      </c>
      <c r="F471" s="40" t="s">
        <v>1384</v>
      </c>
      <c r="G471" s="40" t="s">
        <v>1141</v>
      </c>
      <c r="H471" s="40" t="s">
        <v>1385</v>
      </c>
      <c r="I471" s="37" t="s">
        <v>32</v>
      </c>
      <c r="J471" t="str">
        <f>VLOOKUP(F471,'[1]BASE DE DADOS'!$A:$C,3,0)</f>
        <v xml:space="preserve">Alex Junior Rodrigues dos santos </v>
      </c>
    </row>
    <row r="472" spans="1:10" x14ac:dyDescent="0.25">
      <c r="A472" s="40" t="s">
        <v>1386</v>
      </c>
      <c r="B472" s="41">
        <v>999881968380934</v>
      </c>
      <c r="C472" s="40" t="s">
        <v>40</v>
      </c>
      <c r="D472" s="40" t="s">
        <v>10</v>
      </c>
      <c r="E472" s="40" t="s">
        <v>1387</v>
      </c>
      <c r="F472" s="40" t="s">
        <v>1388</v>
      </c>
      <c r="G472" s="40" t="s">
        <v>1141</v>
      </c>
      <c r="H472" s="40">
        <v>0</v>
      </c>
      <c r="I472" s="37" t="s">
        <v>33</v>
      </c>
      <c r="J472" t="str">
        <f>VLOOKUP(F472,'[1]BASE DE DADOS'!$A:$C,3,0)</f>
        <v xml:space="preserve">Alex Junior Rodrigues dos santos </v>
      </c>
    </row>
    <row r="473" spans="1:10" x14ac:dyDescent="0.25">
      <c r="A473" s="40" t="s">
        <v>1389</v>
      </c>
      <c r="B473" s="41">
        <v>999882017439487</v>
      </c>
      <c r="C473" s="40" t="s">
        <v>40</v>
      </c>
      <c r="D473" s="40" t="s">
        <v>10</v>
      </c>
      <c r="E473" s="40" t="s">
        <v>1390</v>
      </c>
      <c r="F473" s="40" t="s">
        <v>1266</v>
      </c>
      <c r="G473" s="40" t="s">
        <v>1141</v>
      </c>
      <c r="H473" s="40">
        <v>0</v>
      </c>
      <c r="I473" s="37" t="s">
        <v>33</v>
      </c>
      <c r="J473" t="str">
        <f>VLOOKUP(F473,'[1]BASE DE DADOS'!$A:$C,3,0)</f>
        <v>Eduardo Carvalho Vieira dos Santos</v>
      </c>
    </row>
    <row r="474" spans="1:10" x14ac:dyDescent="0.25">
      <c r="A474" s="40" t="s">
        <v>1391</v>
      </c>
      <c r="B474" s="41">
        <v>999881901754775</v>
      </c>
      <c r="C474" s="40" t="s">
        <v>40</v>
      </c>
      <c r="D474" s="40" t="s">
        <v>10</v>
      </c>
      <c r="E474" s="40" t="s">
        <v>1392</v>
      </c>
      <c r="F474" s="40" t="s">
        <v>1393</v>
      </c>
      <c r="G474" s="40" t="s">
        <v>1141</v>
      </c>
      <c r="H474" s="40" t="s">
        <v>1394</v>
      </c>
      <c r="I474" s="37" t="s">
        <v>32</v>
      </c>
      <c r="J474" t="str">
        <f>VLOOKUP(F474,'[1]BASE DE DADOS'!$A:$C,3,0)</f>
        <v>Eduardo Carvalho Vieira dos Santos</v>
      </c>
    </row>
    <row r="475" spans="1:10" x14ac:dyDescent="0.25">
      <c r="A475" s="40" t="s">
        <v>1395</v>
      </c>
      <c r="B475" s="41">
        <v>999881998007018</v>
      </c>
      <c r="C475" s="40" t="s">
        <v>40</v>
      </c>
      <c r="D475" s="40" t="s">
        <v>10</v>
      </c>
      <c r="E475" s="40" t="s">
        <v>1396</v>
      </c>
      <c r="F475" s="40" t="s">
        <v>1270</v>
      </c>
      <c r="G475" s="40" t="s">
        <v>1141</v>
      </c>
      <c r="H475" s="40" t="s">
        <v>1397</v>
      </c>
      <c r="I475" s="37" t="s">
        <v>32</v>
      </c>
      <c r="J475" t="str">
        <f>VLOOKUP(F475,'[1]BASE DE DADOS'!$A:$C,3,0)</f>
        <v xml:space="preserve">Alex Junior Rodrigues dos santos </v>
      </c>
    </row>
    <row r="476" spans="1:10" x14ac:dyDescent="0.25">
      <c r="A476" s="40" t="s">
        <v>1398</v>
      </c>
      <c r="B476" s="41">
        <v>999882024874942</v>
      </c>
      <c r="C476" s="40" t="s">
        <v>40</v>
      </c>
      <c r="D476" s="40" t="s">
        <v>10</v>
      </c>
      <c r="E476" s="40" t="s">
        <v>1399</v>
      </c>
      <c r="F476" s="40" t="s">
        <v>1266</v>
      </c>
      <c r="G476" s="40" t="s">
        <v>1141</v>
      </c>
      <c r="H476" s="40" t="s">
        <v>1400</v>
      </c>
      <c r="I476" s="37" t="s">
        <v>32</v>
      </c>
      <c r="J476" t="str">
        <f>VLOOKUP(F476,'[1]BASE DE DADOS'!$A:$C,3,0)</f>
        <v>Eduardo Carvalho Vieira dos Santos</v>
      </c>
    </row>
    <row r="477" spans="1:10" x14ac:dyDescent="0.25">
      <c r="A477" s="40" t="s">
        <v>1401</v>
      </c>
      <c r="B477" s="41">
        <v>999881973903101</v>
      </c>
      <c r="C477" s="40" t="s">
        <v>40</v>
      </c>
      <c r="D477" s="40" t="s">
        <v>10</v>
      </c>
      <c r="E477" s="40" t="s">
        <v>1402</v>
      </c>
      <c r="F477" s="40" t="s">
        <v>1225</v>
      </c>
      <c r="G477" s="40" t="s">
        <v>1141</v>
      </c>
      <c r="H477" s="40" t="s">
        <v>1403</v>
      </c>
      <c r="I477" s="37" t="s">
        <v>32</v>
      </c>
      <c r="J477" t="str">
        <f>VLOOKUP(F477,'[1]BASE DE DADOS'!$A:$C,3,0)</f>
        <v>Eduardo Carvalho Vieira dos Santos</v>
      </c>
    </row>
    <row r="478" spans="1:10" x14ac:dyDescent="0.25">
      <c r="A478" s="40" t="s">
        <v>1404</v>
      </c>
      <c r="B478" s="41">
        <v>999882001786589</v>
      </c>
      <c r="C478" s="40" t="s">
        <v>40</v>
      </c>
      <c r="D478" s="40" t="s">
        <v>10</v>
      </c>
      <c r="E478" s="40" t="s">
        <v>1405</v>
      </c>
      <c r="F478" s="40" t="s">
        <v>1225</v>
      </c>
      <c r="G478" s="40" t="s">
        <v>1141</v>
      </c>
      <c r="H478" s="40" t="s">
        <v>1403</v>
      </c>
      <c r="I478" s="37" t="s">
        <v>32</v>
      </c>
      <c r="J478" t="str">
        <f>VLOOKUP(F478,'[1]BASE DE DADOS'!$A:$C,3,0)</f>
        <v>Eduardo Carvalho Vieira dos Santos</v>
      </c>
    </row>
    <row r="479" spans="1:10" x14ac:dyDescent="0.25">
      <c r="A479" s="40" t="s">
        <v>1406</v>
      </c>
      <c r="B479" s="41">
        <v>999881987017886</v>
      </c>
      <c r="C479" s="40" t="s">
        <v>40</v>
      </c>
      <c r="D479" s="40" t="s">
        <v>10</v>
      </c>
      <c r="E479" s="40" t="s">
        <v>1407</v>
      </c>
      <c r="F479" s="40" t="s">
        <v>1408</v>
      </c>
      <c r="G479" s="40" t="s">
        <v>1141</v>
      </c>
      <c r="H479" s="40" t="s">
        <v>1409</v>
      </c>
      <c r="I479" s="37" t="s">
        <v>32</v>
      </c>
      <c r="J479" t="str">
        <f>VLOOKUP(F479,'[1]BASE DE DADOS'!$A:$C,3,0)</f>
        <v>Hiago Vinicius Alves Dos Santos Silva</v>
      </c>
    </row>
    <row r="480" spans="1:10" x14ac:dyDescent="0.25">
      <c r="A480" s="40" t="s">
        <v>1410</v>
      </c>
      <c r="B480" s="41">
        <v>999881982519285</v>
      </c>
      <c r="C480" s="40" t="s">
        <v>40</v>
      </c>
      <c r="D480" s="40" t="s">
        <v>10</v>
      </c>
      <c r="E480" s="40" t="s">
        <v>1411</v>
      </c>
      <c r="F480" s="40" t="s">
        <v>1270</v>
      </c>
      <c r="G480" s="40" t="s">
        <v>1141</v>
      </c>
      <c r="H480" s="40">
        <v>0</v>
      </c>
      <c r="I480" s="37" t="s">
        <v>33</v>
      </c>
      <c r="J480" t="str">
        <f>VLOOKUP(F480,'[1]BASE DE DADOS'!$A:$C,3,0)</f>
        <v xml:space="preserve">Alex Junior Rodrigues dos santos </v>
      </c>
    </row>
    <row r="481" spans="1:10" x14ac:dyDescent="0.25">
      <c r="A481" s="40" t="s">
        <v>1412</v>
      </c>
      <c r="B481" s="41">
        <v>999881986288405</v>
      </c>
      <c r="C481" s="40" t="s">
        <v>40</v>
      </c>
      <c r="D481" s="40" t="s">
        <v>10</v>
      </c>
      <c r="E481" s="40" t="s">
        <v>1413</v>
      </c>
      <c r="F481" s="40" t="s">
        <v>1243</v>
      </c>
      <c r="G481" s="40" t="s">
        <v>1141</v>
      </c>
      <c r="H481" s="40" t="s">
        <v>1414</v>
      </c>
      <c r="I481" s="37" t="s">
        <v>32</v>
      </c>
      <c r="J481" t="str">
        <f>VLOOKUP(F481,'[1]BASE DE DADOS'!$A:$C,3,0)</f>
        <v>Eduardo Carvalho Vieira dos Santos</v>
      </c>
    </row>
    <row r="482" spans="1:10" x14ac:dyDescent="0.25">
      <c r="A482" s="40" t="s">
        <v>1415</v>
      </c>
      <c r="B482" s="41">
        <v>999881964988534</v>
      </c>
      <c r="C482" s="40" t="s">
        <v>40</v>
      </c>
      <c r="D482" s="40" t="s">
        <v>10</v>
      </c>
      <c r="E482" s="40" t="s">
        <v>1416</v>
      </c>
      <c r="F482" s="40" t="s">
        <v>1417</v>
      </c>
      <c r="G482" s="40" t="s">
        <v>1141</v>
      </c>
      <c r="H482" s="40" t="s">
        <v>1418</v>
      </c>
      <c r="I482" s="37" t="s">
        <v>32</v>
      </c>
      <c r="J482" t="str">
        <f>VLOOKUP(F482,'[1]BASE DE DADOS'!$A:$C,3,0)</f>
        <v>Cleber Silvestre Almeida e Silva</v>
      </c>
    </row>
    <row r="483" spans="1:10" x14ac:dyDescent="0.25">
      <c r="A483" s="40" t="s">
        <v>1419</v>
      </c>
      <c r="B483" s="41">
        <v>999882004172246</v>
      </c>
      <c r="C483" s="40" t="s">
        <v>40</v>
      </c>
      <c r="D483" s="40" t="s">
        <v>10</v>
      </c>
      <c r="E483" s="40" t="s">
        <v>1420</v>
      </c>
      <c r="F483" s="40" t="s">
        <v>1165</v>
      </c>
      <c r="G483" s="40" t="s">
        <v>1141</v>
      </c>
      <c r="H483" s="40" t="s">
        <v>1421</v>
      </c>
      <c r="I483" s="37" t="s">
        <v>32</v>
      </c>
      <c r="J483" t="str">
        <f>VLOOKUP(F483,'[1]BASE DE DADOS'!$A:$C,3,0)</f>
        <v>Eduardo Carvalho Vieira dos Santos</v>
      </c>
    </row>
    <row r="484" spans="1:10" x14ac:dyDescent="0.25">
      <c r="A484" s="40" t="s">
        <v>1422</v>
      </c>
      <c r="B484" s="41">
        <v>999882025575511</v>
      </c>
      <c r="C484" s="40" t="s">
        <v>40</v>
      </c>
      <c r="D484" s="40" t="s">
        <v>10</v>
      </c>
      <c r="E484" s="40" t="s">
        <v>1423</v>
      </c>
      <c r="F484" s="40" t="s">
        <v>1424</v>
      </c>
      <c r="G484" s="40" t="s">
        <v>1141</v>
      </c>
      <c r="H484" s="40" t="s">
        <v>1425</v>
      </c>
      <c r="I484" s="37" t="s">
        <v>32</v>
      </c>
      <c r="J484" t="str">
        <f>VLOOKUP(F484,'[1]BASE DE DADOS'!$A:$C,3,0)</f>
        <v>Eduardo Carvalho Vieira dos Santos</v>
      </c>
    </row>
    <row r="485" spans="1:10" x14ac:dyDescent="0.25">
      <c r="A485" s="40" t="s">
        <v>1426</v>
      </c>
      <c r="B485" s="41">
        <v>999882002285089</v>
      </c>
      <c r="C485" s="40" t="s">
        <v>41</v>
      </c>
      <c r="D485" s="40" t="s">
        <v>10</v>
      </c>
      <c r="E485" s="40" t="s">
        <v>1427</v>
      </c>
      <c r="F485" s="40" t="s">
        <v>1428</v>
      </c>
      <c r="G485" s="40" t="s">
        <v>1141</v>
      </c>
      <c r="H485" s="40">
        <v>0</v>
      </c>
      <c r="I485" s="37" t="s">
        <v>33</v>
      </c>
      <c r="J485" t="str">
        <f>VLOOKUP(F485,'[1]BASE DE DADOS'!$A:$C,3,0)</f>
        <v xml:space="preserve">Alex Junior Rodrigues dos santos </v>
      </c>
    </row>
    <row r="486" spans="1:10" x14ac:dyDescent="0.25">
      <c r="A486" s="40" t="s">
        <v>1429</v>
      </c>
      <c r="B486" s="41">
        <v>999882018384077</v>
      </c>
      <c r="C486" s="40" t="s">
        <v>40</v>
      </c>
      <c r="D486" s="40" t="s">
        <v>10</v>
      </c>
      <c r="E486" s="40" t="s">
        <v>1430</v>
      </c>
      <c r="F486" s="40" t="s">
        <v>1431</v>
      </c>
      <c r="G486" s="40" t="s">
        <v>1141</v>
      </c>
      <c r="H486" s="40" t="s">
        <v>1432</v>
      </c>
      <c r="I486" s="37" t="s">
        <v>32</v>
      </c>
      <c r="J486" t="str">
        <f>VLOOKUP(F486,'[1]BASE DE DADOS'!$A:$C,3,0)</f>
        <v xml:space="preserve">Alex Junior Rodrigues dos santos </v>
      </c>
    </row>
    <row r="487" spans="1:10" x14ac:dyDescent="0.25">
      <c r="A487" s="40" t="s">
        <v>1433</v>
      </c>
      <c r="B487" s="41">
        <v>999881993389051</v>
      </c>
      <c r="C487" s="40" t="s">
        <v>40</v>
      </c>
      <c r="D487" s="40" t="s">
        <v>10</v>
      </c>
      <c r="E487" s="40" t="s">
        <v>1434</v>
      </c>
      <c r="F487" s="40" t="s">
        <v>1254</v>
      </c>
      <c r="G487" s="40" t="s">
        <v>1141</v>
      </c>
      <c r="H487" s="40" t="s">
        <v>1435</v>
      </c>
      <c r="I487" s="37" t="s">
        <v>32</v>
      </c>
      <c r="J487" t="str">
        <f>VLOOKUP(F487,'[1]BASE DE DADOS'!$A:$C,3,0)</f>
        <v>Eduardo Carvalho Vieira dos Santos</v>
      </c>
    </row>
    <row r="488" spans="1:10" x14ac:dyDescent="0.25">
      <c r="A488" s="40" t="s">
        <v>1436</v>
      </c>
      <c r="B488" s="41">
        <v>999882018484087</v>
      </c>
      <c r="C488" s="40" t="s">
        <v>40</v>
      </c>
      <c r="D488" s="40" t="s">
        <v>10</v>
      </c>
      <c r="E488" s="40" t="s">
        <v>1437</v>
      </c>
      <c r="F488" s="40" t="s">
        <v>1438</v>
      </c>
      <c r="G488" s="40" t="s">
        <v>1141</v>
      </c>
      <c r="H488" s="40" t="s">
        <v>1439</v>
      </c>
      <c r="I488" s="37" t="s">
        <v>32</v>
      </c>
      <c r="J488" t="str">
        <f>VLOOKUP(F488,'[1]BASE DE DADOS'!$A:$C,3,0)</f>
        <v xml:space="preserve">Alex Junior Rodrigues dos santos </v>
      </c>
    </row>
    <row r="489" spans="1:10" x14ac:dyDescent="0.25">
      <c r="A489" s="40" t="s">
        <v>1440</v>
      </c>
      <c r="B489" s="41">
        <v>999882040121044</v>
      </c>
      <c r="C489" s="40" t="s">
        <v>41</v>
      </c>
      <c r="D489" s="40" t="s">
        <v>10</v>
      </c>
      <c r="E489" s="40" t="s">
        <v>1441</v>
      </c>
      <c r="F489" s="40" t="s">
        <v>1442</v>
      </c>
      <c r="G489" s="40" t="s">
        <v>1141</v>
      </c>
      <c r="H489" s="40">
        <v>0</v>
      </c>
      <c r="I489" s="37" t="s">
        <v>33</v>
      </c>
      <c r="J489" t="str">
        <f>VLOOKUP(F489,'[1]BASE DE DADOS'!$A:$C,3,0)</f>
        <v>Eduardo Carvalho Vieira dos Santos</v>
      </c>
    </row>
    <row r="490" spans="1:10" x14ac:dyDescent="0.25">
      <c r="A490" s="40" t="s">
        <v>1443</v>
      </c>
      <c r="B490" s="41">
        <v>999882017113889</v>
      </c>
      <c r="C490" s="40" t="s">
        <v>40</v>
      </c>
      <c r="D490" s="40" t="s">
        <v>10</v>
      </c>
      <c r="E490" s="40" t="s">
        <v>1444</v>
      </c>
      <c r="F490" s="40" t="s">
        <v>1225</v>
      </c>
      <c r="G490" s="40" t="s">
        <v>1141</v>
      </c>
      <c r="H490" s="40" t="s">
        <v>1445</v>
      </c>
      <c r="I490" s="37" t="s">
        <v>32</v>
      </c>
      <c r="J490" t="str">
        <f>VLOOKUP(F490,'[1]BASE DE DADOS'!$A:$C,3,0)</f>
        <v>Eduardo Carvalho Vieira dos Santos</v>
      </c>
    </row>
    <row r="491" spans="1:10" x14ac:dyDescent="0.25">
      <c r="A491" s="40" t="s">
        <v>1446</v>
      </c>
      <c r="B491" s="41">
        <v>999881971860808</v>
      </c>
      <c r="C491" s="40" t="s">
        <v>40</v>
      </c>
      <c r="D491" s="40" t="s">
        <v>10</v>
      </c>
      <c r="E491" s="40" t="s">
        <v>1447</v>
      </c>
      <c r="F491" s="40" t="s">
        <v>1254</v>
      </c>
      <c r="G491" s="40" t="s">
        <v>1141</v>
      </c>
      <c r="H491" s="40" t="s">
        <v>1448</v>
      </c>
      <c r="I491" s="37" t="s">
        <v>32</v>
      </c>
      <c r="J491" t="str">
        <f>VLOOKUP(F491,'[1]BASE DE DADOS'!$A:$C,3,0)</f>
        <v>Eduardo Carvalho Vieira dos Santos</v>
      </c>
    </row>
    <row r="492" spans="1:10" x14ac:dyDescent="0.25">
      <c r="A492" s="40" t="s">
        <v>1449</v>
      </c>
      <c r="B492" s="41">
        <v>999881997300138</v>
      </c>
      <c r="C492" s="40" t="s">
        <v>40</v>
      </c>
      <c r="D492" s="40" t="s">
        <v>10</v>
      </c>
      <c r="E492" s="40" t="s">
        <v>1450</v>
      </c>
      <c r="F492" s="40" t="s">
        <v>1140</v>
      </c>
      <c r="G492" s="40" t="s">
        <v>1141</v>
      </c>
      <c r="H492" s="40" t="s">
        <v>1451</v>
      </c>
      <c r="I492" s="37" t="s">
        <v>32</v>
      </c>
      <c r="J492" t="str">
        <f>VLOOKUP(F492,'[1]BASE DE DADOS'!$A:$C,3,0)</f>
        <v xml:space="preserve">Alex Junior Rodrigues dos santos </v>
      </c>
    </row>
    <row r="493" spans="1:10" x14ac:dyDescent="0.25">
      <c r="A493" s="40" t="s">
        <v>1452</v>
      </c>
      <c r="B493" s="41">
        <v>999881990139663</v>
      </c>
      <c r="C493" s="40" t="s">
        <v>40</v>
      </c>
      <c r="D493" s="40" t="s">
        <v>10</v>
      </c>
      <c r="E493" s="40" t="s">
        <v>1453</v>
      </c>
      <c r="F493" s="40" t="s">
        <v>1236</v>
      </c>
      <c r="G493" s="40" t="s">
        <v>1141</v>
      </c>
      <c r="H493" s="40" t="s">
        <v>1454</v>
      </c>
      <c r="I493" s="37" t="s">
        <v>32</v>
      </c>
      <c r="J493" t="str">
        <f>VLOOKUP(F493,'[1]BASE DE DADOS'!$A:$C,3,0)</f>
        <v>Eduardo Carvalho Vieira dos Santos</v>
      </c>
    </row>
    <row r="494" spans="1:10" x14ac:dyDescent="0.25">
      <c r="A494" s="40" t="s">
        <v>1455</v>
      </c>
      <c r="B494" s="41">
        <v>999882011422602</v>
      </c>
      <c r="C494" s="40" t="s">
        <v>40</v>
      </c>
      <c r="D494" s="40" t="s">
        <v>10</v>
      </c>
      <c r="E494" s="40" t="s">
        <v>1456</v>
      </c>
      <c r="F494" s="40" t="s">
        <v>1165</v>
      </c>
      <c r="G494" s="40" t="s">
        <v>1141</v>
      </c>
      <c r="H494" s="40" t="s">
        <v>1457</v>
      </c>
      <c r="I494" s="37" t="s">
        <v>32</v>
      </c>
      <c r="J494" t="str">
        <f>VLOOKUP(F494,'[1]BASE DE DADOS'!$A:$C,3,0)</f>
        <v>Eduardo Carvalho Vieira dos Santos</v>
      </c>
    </row>
    <row r="495" spans="1:10" x14ac:dyDescent="0.25">
      <c r="A495" s="40" t="s">
        <v>1458</v>
      </c>
      <c r="B495" s="41">
        <v>999881970445201</v>
      </c>
      <c r="C495" s="40" t="s">
        <v>40</v>
      </c>
      <c r="D495" s="40" t="s">
        <v>10</v>
      </c>
      <c r="E495" s="40" t="s">
        <v>1459</v>
      </c>
      <c r="F495" s="40" t="s">
        <v>1236</v>
      </c>
      <c r="G495" s="40" t="s">
        <v>1141</v>
      </c>
      <c r="H495" s="40" t="s">
        <v>222</v>
      </c>
      <c r="I495" s="37" t="s">
        <v>32</v>
      </c>
      <c r="J495" t="str">
        <f>VLOOKUP(F495,'[1]BASE DE DADOS'!$A:$C,3,0)</f>
        <v>Eduardo Carvalho Vieira dos Santos</v>
      </c>
    </row>
    <row r="496" spans="1:10" x14ac:dyDescent="0.25">
      <c r="A496" s="40" t="s">
        <v>1460</v>
      </c>
      <c r="B496" s="41">
        <v>999881999163174</v>
      </c>
      <c r="C496" s="40" t="s">
        <v>40</v>
      </c>
      <c r="D496" s="40" t="s">
        <v>10</v>
      </c>
      <c r="E496" s="40" t="s">
        <v>1461</v>
      </c>
      <c r="F496" s="40" t="s">
        <v>1221</v>
      </c>
      <c r="G496" s="40" t="s">
        <v>1141</v>
      </c>
      <c r="H496" s="40" t="s">
        <v>1462</v>
      </c>
      <c r="I496" s="37" t="s">
        <v>32</v>
      </c>
      <c r="J496" t="str">
        <f>VLOOKUP(F496,'[1]BASE DE DADOS'!$A:$C,3,0)</f>
        <v>Cleber Silvestre Almeida e Silva</v>
      </c>
    </row>
    <row r="497" spans="1:10" x14ac:dyDescent="0.25">
      <c r="A497" s="40" t="s">
        <v>1463</v>
      </c>
      <c r="B497" s="41">
        <v>999881977474882</v>
      </c>
      <c r="C497" s="40" t="s">
        <v>40</v>
      </c>
      <c r="D497" s="40" t="s">
        <v>10</v>
      </c>
      <c r="E497" s="40" t="s">
        <v>1464</v>
      </c>
      <c r="F497" s="40" t="s">
        <v>1465</v>
      </c>
      <c r="G497" s="40" t="s">
        <v>1141</v>
      </c>
      <c r="H497" s="40">
        <v>0</v>
      </c>
      <c r="I497" s="37" t="s">
        <v>33</v>
      </c>
      <c r="J497" t="str">
        <f>VLOOKUP(F497,'[1]BASE DE DADOS'!$A:$C,3,0)</f>
        <v>Eduardo Carvalho Vieira dos Santos</v>
      </c>
    </row>
    <row r="498" spans="1:10" x14ac:dyDescent="0.25">
      <c r="A498" s="40" t="s">
        <v>1466</v>
      </c>
      <c r="B498" s="41">
        <v>999881996545742</v>
      </c>
      <c r="C498" s="40" t="s">
        <v>40</v>
      </c>
      <c r="D498" s="40" t="s">
        <v>10</v>
      </c>
      <c r="E498" s="40" t="s">
        <v>1467</v>
      </c>
      <c r="F498" s="40" t="s">
        <v>1468</v>
      </c>
      <c r="G498" s="40" t="s">
        <v>1141</v>
      </c>
      <c r="H498" s="40" t="s">
        <v>1469</v>
      </c>
      <c r="I498" s="37" t="s">
        <v>32</v>
      </c>
      <c r="J498" t="str">
        <f>VLOOKUP(F498,'[1]BASE DE DADOS'!$A:$C,3,0)</f>
        <v>Eduardo Carvalho Vieira dos Santos</v>
      </c>
    </row>
    <row r="499" spans="1:10" x14ac:dyDescent="0.25">
      <c r="A499" s="40" t="s">
        <v>1470</v>
      </c>
      <c r="B499" s="41">
        <v>999882000053626</v>
      </c>
      <c r="C499" s="40" t="s">
        <v>40</v>
      </c>
      <c r="D499" s="40" t="s">
        <v>10</v>
      </c>
      <c r="E499" s="40" t="s">
        <v>1471</v>
      </c>
      <c r="F499" s="40" t="s">
        <v>1472</v>
      </c>
      <c r="G499" s="40" t="s">
        <v>1141</v>
      </c>
      <c r="H499" s="40" t="s">
        <v>1473</v>
      </c>
      <c r="I499" s="37" t="s">
        <v>32</v>
      </c>
      <c r="J499" t="str">
        <f>VLOOKUP(F499,'[1]BASE DE DADOS'!$A:$C,3,0)</f>
        <v xml:space="preserve">Alex Junior Rodrigues dos santos </v>
      </c>
    </row>
    <row r="500" spans="1:10" x14ac:dyDescent="0.25">
      <c r="A500" s="40" t="s">
        <v>1474</v>
      </c>
      <c r="B500" s="41">
        <v>999882020392685</v>
      </c>
      <c r="C500" s="40" t="s">
        <v>40</v>
      </c>
      <c r="D500" s="40" t="s">
        <v>10</v>
      </c>
      <c r="E500" s="40" t="s">
        <v>1475</v>
      </c>
      <c r="F500" s="40" t="s">
        <v>1254</v>
      </c>
      <c r="G500" s="40" t="s">
        <v>1141</v>
      </c>
      <c r="H500" s="40" t="s">
        <v>1476</v>
      </c>
      <c r="I500" s="37" t="s">
        <v>32</v>
      </c>
      <c r="J500" t="str">
        <f>VLOOKUP(F500,'[1]BASE DE DADOS'!$A:$C,3,0)</f>
        <v>Eduardo Carvalho Vieira dos Santos</v>
      </c>
    </row>
    <row r="501" spans="1:10" x14ac:dyDescent="0.25">
      <c r="A501" s="40" t="s">
        <v>1477</v>
      </c>
      <c r="B501" s="41">
        <v>999882033805695</v>
      </c>
      <c r="C501" s="40" t="s">
        <v>40</v>
      </c>
      <c r="D501" s="40" t="s">
        <v>10</v>
      </c>
      <c r="E501" s="40" t="s">
        <v>1478</v>
      </c>
      <c r="F501" s="40" t="s">
        <v>1479</v>
      </c>
      <c r="G501" s="40" t="s">
        <v>1141</v>
      </c>
      <c r="H501" s="40" t="s">
        <v>1480</v>
      </c>
      <c r="I501" s="37" t="s">
        <v>32</v>
      </c>
      <c r="J501" t="str">
        <f>VLOOKUP(F501,'[1]BASE DE DADOS'!$A:$C,3,0)</f>
        <v>Eduardo Carvalho Vieira dos Santos</v>
      </c>
    </row>
    <row r="502" spans="1:10" x14ac:dyDescent="0.25">
      <c r="A502" s="40" t="s">
        <v>1481</v>
      </c>
      <c r="B502" s="41">
        <v>999882000280774</v>
      </c>
      <c r="C502" s="40" t="s">
        <v>40</v>
      </c>
      <c r="D502" s="40" t="s">
        <v>10</v>
      </c>
      <c r="E502" s="40" t="s">
        <v>1482</v>
      </c>
      <c r="F502" s="40" t="s">
        <v>1483</v>
      </c>
      <c r="G502" s="40" t="s">
        <v>1141</v>
      </c>
      <c r="H502" s="40" t="s">
        <v>1484</v>
      </c>
      <c r="I502" s="37" t="s">
        <v>32</v>
      </c>
      <c r="J502" t="str">
        <f>VLOOKUP(F502,'[1]BASE DE DADOS'!$A:$C,3,0)</f>
        <v>Eduardo Carvalho Vieira dos Santos</v>
      </c>
    </row>
    <row r="503" spans="1:10" x14ac:dyDescent="0.25">
      <c r="A503" s="40" t="s">
        <v>1485</v>
      </c>
      <c r="B503" s="41">
        <v>999882002092439</v>
      </c>
      <c r="C503" s="40" t="s">
        <v>40</v>
      </c>
      <c r="D503" s="40" t="s">
        <v>10</v>
      </c>
      <c r="E503" s="40" t="s">
        <v>1486</v>
      </c>
      <c r="F503" s="40" t="s">
        <v>1297</v>
      </c>
      <c r="G503" s="40" t="s">
        <v>1141</v>
      </c>
      <c r="H503" s="40">
        <v>0</v>
      </c>
      <c r="I503" s="37" t="s">
        <v>33</v>
      </c>
      <c r="J503" t="str">
        <f>VLOOKUP(F503,'[1]BASE DE DADOS'!$A:$C,3,0)</f>
        <v>Cleber Silvestre Almeida e Silva</v>
      </c>
    </row>
    <row r="504" spans="1:10" x14ac:dyDescent="0.25">
      <c r="A504" s="40" t="s">
        <v>1487</v>
      </c>
      <c r="B504" s="41">
        <v>999882016239222</v>
      </c>
      <c r="C504" s="40" t="s">
        <v>40</v>
      </c>
      <c r="D504" s="40" t="s">
        <v>10</v>
      </c>
      <c r="E504" s="40" t="s">
        <v>1488</v>
      </c>
      <c r="F504" s="40" t="s">
        <v>1352</v>
      </c>
      <c r="G504" s="40" t="s">
        <v>1141</v>
      </c>
      <c r="H504" s="40" t="s">
        <v>1489</v>
      </c>
      <c r="I504" s="37" t="s">
        <v>32</v>
      </c>
      <c r="J504" t="str">
        <f>VLOOKUP(F504,'[1]BASE DE DADOS'!$A:$C,3,0)</f>
        <v>Hiago Vinicius Alves Dos Santos Silva</v>
      </c>
    </row>
    <row r="505" spans="1:10" x14ac:dyDescent="0.25">
      <c r="A505" s="40" t="s">
        <v>1490</v>
      </c>
      <c r="B505" s="41">
        <v>999882002092439</v>
      </c>
      <c r="C505" s="40" t="s">
        <v>40</v>
      </c>
      <c r="D505" s="40" t="s">
        <v>10</v>
      </c>
      <c r="E505" s="40" t="s">
        <v>1491</v>
      </c>
      <c r="F505" s="40" t="s">
        <v>1297</v>
      </c>
      <c r="G505" s="40" t="s">
        <v>1141</v>
      </c>
      <c r="H505" s="40">
        <v>0</v>
      </c>
      <c r="I505" s="37" t="s">
        <v>33</v>
      </c>
      <c r="J505" t="str">
        <f>VLOOKUP(F505,'[1]BASE DE DADOS'!$A:$C,3,0)</f>
        <v>Cleber Silvestre Almeida e Silva</v>
      </c>
    </row>
    <row r="506" spans="1:10" x14ac:dyDescent="0.25">
      <c r="A506" s="40" t="s">
        <v>1492</v>
      </c>
      <c r="B506" s="41">
        <v>999881988064692</v>
      </c>
      <c r="C506" s="40" t="s">
        <v>40</v>
      </c>
      <c r="D506" s="40" t="s">
        <v>10</v>
      </c>
      <c r="E506" s="40" t="s">
        <v>1493</v>
      </c>
      <c r="F506" s="40" t="s">
        <v>1494</v>
      </c>
      <c r="G506" s="40" t="s">
        <v>1141</v>
      </c>
      <c r="H506" s="40">
        <v>0</v>
      </c>
      <c r="I506" s="37" t="s">
        <v>33</v>
      </c>
      <c r="J506" t="str">
        <f>VLOOKUP(F506,'[1]BASE DE DADOS'!$A:$C,3,0)</f>
        <v>Hiago Vinicius Alves Dos Santos Silva</v>
      </c>
    </row>
    <row r="507" spans="1:10" x14ac:dyDescent="0.25">
      <c r="A507" s="40" t="s">
        <v>1495</v>
      </c>
      <c r="B507" s="41">
        <v>999882027060126</v>
      </c>
      <c r="C507" s="40" t="s">
        <v>40</v>
      </c>
      <c r="D507" s="40" t="s">
        <v>10</v>
      </c>
      <c r="E507" s="40" t="s">
        <v>1496</v>
      </c>
      <c r="F507" s="40" t="s">
        <v>1184</v>
      </c>
      <c r="G507" s="40" t="s">
        <v>1141</v>
      </c>
      <c r="H507" s="40" t="s">
        <v>1497</v>
      </c>
      <c r="I507" s="37" t="s">
        <v>32</v>
      </c>
      <c r="J507" t="str">
        <f>VLOOKUP(F507,'[1]BASE DE DADOS'!$A:$C,3,0)</f>
        <v>Cleber Silvestre Almeida e Silva</v>
      </c>
    </row>
    <row r="508" spans="1:10" x14ac:dyDescent="0.25">
      <c r="A508" s="40" t="s">
        <v>1498</v>
      </c>
      <c r="B508" s="41">
        <v>999882031572745</v>
      </c>
      <c r="C508" s="40" t="s">
        <v>40</v>
      </c>
      <c r="D508" s="40" t="s">
        <v>10</v>
      </c>
      <c r="E508" s="40" t="s">
        <v>1499</v>
      </c>
      <c r="F508" s="40" t="s">
        <v>1144</v>
      </c>
      <c r="G508" s="40" t="s">
        <v>1141</v>
      </c>
      <c r="H508" s="40" t="s">
        <v>1500</v>
      </c>
      <c r="I508" s="37" t="s">
        <v>32</v>
      </c>
      <c r="J508" t="str">
        <f>VLOOKUP(F508,'[1]BASE DE DADOS'!$A:$C,3,0)</f>
        <v xml:space="preserve">Alex Junior Rodrigues dos santos </v>
      </c>
    </row>
    <row r="509" spans="1:10" x14ac:dyDescent="0.25">
      <c r="A509" s="40" t="s">
        <v>1501</v>
      </c>
      <c r="B509" s="41">
        <v>999882033423166</v>
      </c>
      <c r="C509" s="40" t="s">
        <v>40</v>
      </c>
      <c r="D509" s="40" t="s">
        <v>10</v>
      </c>
      <c r="E509" s="40" t="s">
        <v>1502</v>
      </c>
      <c r="F509" s="40" t="s">
        <v>1503</v>
      </c>
      <c r="G509" s="40" t="s">
        <v>1141</v>
      </c>
      <c r="H509" s="40" t="s">
        <v>1504</v>
      </c>
      <c r="I509" s="37" t="s">
        <v>32</v>
      </c>
      <c r="J509" t="str">
        <f>VLOOKUP(F509,'[1]BASE DE DADOS'!$A:$C,3,0)</f>
        <v>Cleber Silvestre Almeida e Silva</v>
      </c>
    </row>
    <row r="510" spans="1:10" x14ac:dyDescent="0.25">
      <c r="A510" s="40" t="s">
        <v>1505</v>
      </c>
      <c r="B510" s="41">
        <v>999881991494045</v>
      </c>
      <c r="C510" s="40" t="s">
        <v>40</v>
      </c>
      <c r="D510" s="40" t="s">
        <v>10</v>
      </c>
      <c r="E510" s="40" t="s">
        <v>1506</v>
      </c>
      <c r="F510" s="40" t="s">
        <v>1507</v>
      </c>
      <c r="G510" s="40" t="s">
        <v>1141</v>
      </c>
      <c r="H510" s="40" t="s">
        <v>1508</v>
      </c>
      <c r="I510" s="37" t="s">
        <v>32</v>
      </c>
      <c r="J510" t="str">
        <f>VLOOKUP(F510,'[1]BASE DE DADOS'!$A:$C,3,0)</f>
        <v>Cleber Silvestre Almeida e Silva</v>
      </c>
    </row>
    <row r="511" spans="1:10" x14ac:dyDescent="0.25">
      <c r="A511" s="40" t="s">
        <v>1509</v>
      </c>
      <c r="B511" s="41">
        <v>999881938752655</v>
      </c>
      <c r="C511" s="40" t="s">
        <v>40</v>
      </c>
      <c r="D511" s="40" t="s">
        <v>10</v>
      </c>
      <c r="E511" s="40" t="s">
        <v>1510</v>
      </c>
      <c r="F511" s="40" t="s">
        <v>1511</v>
      </c>
      <c r="G511" s="40" t="s">
        <v>1141</v>
      </c>
      <c r="H511" s="40">
        <v>0</v>
      </c>
      <c r="I511" s="37" t="s">
        <v>33</v>
      </c>
      <c r="J511" t="str">
        <f>VLOOKUP(F511,'[1]BASE DE DADOS'!$A:$C,3,0)</f>
        <v>Cleber Silvestre Almeida e Silva</v>
      </c>
    </row>
    <row r="512" spans="1:10" x14ac:dyDescent="0.25">
      <c r="A512" s="40" t="s">
        <v>1512</v>
      </c>
      <c r="B512" s="41">
        <v>999881958224535</v>
      </c>
      <c r="C512" s="40" t="s">
        <v>40</v>
      </c>
      <c r="D512" s="40" t="s">
        <v>10</v>
      </c>
      <c r="E512" s="40" t="s">
        <v>1513</v>
      </c>
      <c r="F512" s="40" t="s">
        <v>1232</v>
      </c>
      <c r="G512" s="40" t="s">
        <v>1141</v>
      </c>
      <c r="H512" s="40" t="s">
        <v>1514</v>
      </c>
      <c r="I512" s="37" t="s">
        <v>32</v>
      </c>
      <c r="J512" t="str">
        <f>VLOOKUP(F512,'[1]BASE DE DADOS'!$A:$C,3,0)</f>
        <v>Eduardo Carvalho Vieira dos Santos</v>
      </c>
    </row>
    <row r="513" spans="1:10" x14ac:dyDescent="0.25">
      <c r="A513" s="40" t="s">
        <v>1515</v>
      </c>
      <c r="B513" s="41">
        <v>999882028761800</v>
      </c>
      <c r="C513" s="40" t="s">
        <v>40</v>
      </c>
      <c r="D513" s="40" t="s">
        <v>10</v>
      </c>
      <c r="E513" s="40" t="s">
        <v>1516</v>
      </c>
      <c r="F513" s="40" t="s">
        <v>1158</v>
      </c>
      <c r="G513" s="40" t="s">
        <v>1141</v>
      </c>
      <c r="H513" s="40" t="s">
        <v>1517</v>
      </c>
      <c r="I513" s="37" t="s">
        <v>32</v>
      </c>
      <c r="J513" t="str">
        <f>VLOOKUP(F513,'[1]BASE DE DADOS'!$A:$C,3,0)</f>
        <v>Cleber Silvestre Almeida e Silva</v>
      </c>
    </row>
    <row r="514" spans="1:10" x14ac:dyDescent="0.25">
      <c r="A514" s="40" t="s">
        <v>1518</v>
      </c>
      <c r="B514" s="41">
        <v>999882035186136</v>
      </c>
      <c r="C514" s="40" t="s">
        <v>40</v>
      </c>
      <c r="D514" s="40" t="s">
        <v>10</v>
      </c>
      <c r="E514" s="40" t="s">
        <v>1519</v>
      </c>
      <c r="F514" s="40" t="s">
        <v>1274</v>
      </c>
      <c r="G514" s="40" t="s">
        <v>1141</v>
      </c>
      <c r="H514" s="40" t="s">
        <v>1520</v>
      </c>
      <c r="I514" s="37" t="s">
        <v>32</v>
      </c>
      <c r="J514" t="str">
        <f>VLOOKUP(F514,'[1]BASE DE DADOS'!$A:$C,3,0)</f>
        <v>Hiago Vinicius Alves Dos Santos Silva</v>
      </c>
    </row>
    <row r="515" spans="1:10" x14ac:dyDescent="0.25">
      <c r="A515" s="40" t="s">
        <v>1521</v>
      </c>
      <c r="B515" s="41">
        <v>999881979767073</v>
      </c>
      <c r="C515" s="40" t="s">
        <v>40</v>
      </c>
      <c r="D515" s="40" t="s">
        <v>10</v>
      </c>
      <c r="E515" s="40" t="s">
        <v>1522</v>
      </c>
      <c r="F515" s="40" t="s">
        <v>1523</v>
      </c>
      <c r="G515" s="40" t="s">
        <v>1141</v>
      </c>
      <c r="H515" s="40" t="s">
        <v>1524</v>
      </c>
      <c r="I515" s="37" t="s">
        <v>32</v>
      </c>
      <c r="J515" t="str">
        <f>VLOOKUP(F515,'[1]BASE DE DADOS'!$A:$C,3,0)</f>
        <v>Hiago Vinicius Alves Dos Santos Silva</v>
      </c>
    </row>
    <row r="516" spans="1:10" x14ac:dyDescent="0.25">
      <c r="A516" s="40" t="s">
        <v>1525</v>
      </c>
      <c r="B516" s="41">
        <v>999882021057704</v>
      </c>
      <c r="C516" s="40" t="s">
        <v>40</v>
      </c>
      <c r="D516" s="40" t="s">
        <v>10</v>
      </c>
      <c r="E516" s="40" t="s">
        <v>1526</v>
      </c>
      <c r="F516" s="40" t="s">
        <v>1169</v>
      </c>
      <c r="G516" s="40" t="s">
        <v>1141</v>
      </c>
      <c r="H516" s="40">
        <v>0</v>
      </c>
      <c r="I516" s="37" t="s">
        <v>33</v>
      </c>
      <c r="J516" t="str">
        <f>VLOOKUP(F516,'[1]BASE DE DADOS'!$A:$C,3,0)</f>
        <v>Cleber Silvestre Almeida e Silva</v>
      </c>
    </row>
    <row r="517" spans="1:10" x14ac:dyDescent="0.25">
      <c r="A517" s="40" t="s">
        <v>1527</v>
      </c>
      <c r="B517" s="41">
        <v>999881949027551</v>
      </c>
      <c r="C517" s="40" t="s">
        <v>40</v>
      </c>
      <c r="D517" s="40" t="s">
        <v>10</v>
      </c>
      <c r="E517" s="40" t="s">
        <v>1528</v>
      </c>
      <c r="F517" s="40" t="s">
        <v>1529</v>
      </c>
      <c r="G517" s="40" t="s">
        <v>1141</v>
      </c>
      <c r="H517" s="40" t="s">
        <v>1530</v>
      </c>
      <c r="I517" s="37" t="s">
        <v>32</v>
      </c>
      <c r="J517" t="str">
        <f>VLOOKUP(F517,'[1]BASE DE DADOS'!$A:$C,3,0)</f>
        <v>Cleber Silvestre Almeida e Silva</v>
      </c>
    </row>
    <row r="518" spans="1:10" x14ac:dyDescent="0.25">
      <c r="A518" s="40" t="s">
        <v>1531</v>
      </c>
      <c r="B518" s="41">
        <v>999882012868185</v>
      </c>
      <c r="C518" s="40" t="s">
        <v>40</v>
      </c>
      <c r="D518" s="40" t="s">
        <v>10</v>
      </c>
      <c r="E518" s="40" t="s">
        <v>1532</v>
      </c>
      <c r="F518" s="40" t="s">
        <v>1384</v>
      </c>
      <c r="G518" s="40" t="s">
        <v>1141</v>
      </c>
      <c r="H518" s="40" t="s">
        <v>1533</v>
      </c>
      <c r="I518" s="37" t="s">
        <v>32</v>
      </c>
      <c r="J518" t="str">
        <f>VLOOKUP(F518,'[1]BASE DE DADOS'!$A:$C,3,0)</f>
        <v xml:space="preserve">Alex Junior Rodrigues dos santos </v>
      </c>
    </row>
    <row r="519" spans="1:10" x14ac:dyDescent="0.25">
      <c r="A519" s="40" t="s">
        <v>1534</v>
      </c>
      <c r="B519" s="41">
        <v>999882005973971</v>
      </c>
      <c r="C519" s="40" t="s">
        <v>40</v>
      </c>
      <c r="D519" s="40" t="s">
        <v>10</v>
      </c>
      <c r="E519" s="40" t="s">
        <v>1535</v>
      </c>
      <c r="F519" s="40" t="s">
        <v>1144</v>
      </c>
      <c r="G519" s="40" t="s">
        <v>1141</v>
      </c>
      <c r="H519" s="40">
        <v>0</v>
      </c>
      <c r="I519" s="37" t="s">
        <v>33</v>
      </c>
      <c r="J519" t="str">
        <f>VLOOKUP(F519,'[1]BASE DE DADOS'!$A:$C,3,0)</f>
        <v xml:space="preserve">Alex Junior Rodrigues dos santos </v>
      </c>
    </row>
    <row r="520" spans="1:10" x14ac:dyDescent="0.25">
      <c r="A520" s="40" t="s">
        <v>1536</v>
      </c>
      <c r="B520" s="41">
        <v>999882033065256</v>
      </c>
      <c r="C520" s="40" t="s">
        <v>40</v>
      </c>
      <c r="D520" s="40" t="s">
        <v>10</v>
      </c>
      <c r="E520" s="40" t="s">
        <v>1537</v>
      </c>
      <c r="F520" s="40" t="s">
        <v>1384</v>
      </c>
      <c r="G520" s="40" t="s">
        <v>1141</v>
      </c>
      <c r="H520" s="40" t="s">
        <v>1538</v>
      </c>
      <c r="I520" s="37" t="s">
        <v>32</v>
      </c>
      <c r="J520" t="str">
        <f>VLOOKUP(F520,'[1]BASE DE DADOS'!$A:$C,3,0)</f>
        <v xml:space="preserve">Alex Junior Rodrigues dos santos </v>
      </c>
    </row>
    <row r="521" spans="1:10" x14ac:dyDescent="0.25">
      <c r="A521" s="40" t="s">
        <v>1539</v>
      </c>
      <c r="B521" s="41">
        <v>999882002827699</v>
      </c>
      <c r="C521" s="40" t="s">
        <v>41</v>
      </c>
      <c r="D521" s="40" t="s">
        <v>10</v>
      </c>
      <c r="E521" s="40" t="s">
        <v>1540</v>
      </c>
      <c r="F521" s="40" t="s">
        <v>1176</v>
      </c>
      <c r="G521" s="40" t="s">
        <v>1141</v>
      </c>
      <c r="H521" s="40">
        <v>0</v>
      </c>
      <c r="I521" s="37" t="s">
        <v>33</v>
      </c>
      <c r="J521" t="str">
        <f>VLOOKUP(F521,'[1]BASE DE DADOS'!$A:$C,3,0)</f>
        <v>Cleber Silvestre Almeida e Silva</v>
      </c>
    </row>
    <row r="522" spans="1:10" x14ac:dyDescent="0.25">
      <c r="A522" s="40" t="s">
        <v>1541</v>
      </c>
      <c r="B522" s="41">
        <v>999882009606345</v>
      </c>
      <c r="C522" s="40" t="s">
        <v>40</v>
      </c>
      <c r="D522" s="40" t="s">
        <v>10</v>
      </c>
      <c r="E522" s="40" t="s">
        <v>1542</v>
      </c>
      <c r="F522" s="40" t="s">
        <v>1339</v>
      </c>
      <c r="G522" s="40" t="s">
        <v>1141</v>
      </c>
      <c r="H522" s="40" t="s">
        <v>1543</v>
      </c>
      <c r="I522" s="37" t="s">
        <v>32</v>
      </c>
      <c r="J522" t="str">
        <f>VLOOKUP(F522,'[1]BASE DE DADOS'!$A:$C,3,0)</f>
        <v>Eduardo Carvalho Vieira dos Santos</v>
      </c>
    </row>
    <row r="523" spans="1:10" x14ac:dyDescent="0.25">
      <c r="A523" s="40" t="s">
        <v>1544</v>
      </c>
      <c r="B523" s="41">
        <v>999881999507738</v>
      </c>
      <c r="C523" s="40" t="s">
        <v>40</v>
      </c>
      <c r="D523" s="40" t="s">
        <v>10</v>
      </c>
      <c r="E523" s="40" t="s">
        <v>1545</v>
      </c>
      <c r="F523" s="40" t="s">
        <v>1323</v>
      </c>
      <c r="G523" s="40" t="s">
        <v>1141</v>
      </c>
      <c r="H523" s="40" t="s">
        <v>1546</v>
      </c>
      <c r="I523" s="37" t="s">
        <v>32</v>
      </c>
      <c r="J523" t="str">
        <f>VLOOKUP(F523,'[1]BASE DE DADOS'!$A:$C,3,0)</f>
        <v>Cleber Silvestre Almeida e Silva</v>
      </c>
    </row>
    <row r="524" spans="1:10" x14ac:dyDescent="0.25">
      <c r="A524" s="40" t="s">
        <v>1547</v>
      </c>
      <c r="B524" s="41">
        <v>999882014485241</v>
      </c>
      <c r="C524" s="40" t="s">
        <v>40</v>
      </c>
      <c r="D524" s="40" t="s">
        <v>10</v>
      </c>
      <c r="E524" s="40" t="s">
        <v>1548</v>
      </c>
      <c r="F524" s="40" t="s">
        <v>1282</v>
      </c>
      <c r="G524" s="40" t="s">
        <v>1141</v>
      </c>
      <c r="H524" s="40" t="s">
        <v>1549</v>
      </c>
      <c r="I524" s="37" t="s">
        <v>32</v>
      </c>
      <c r="J524" t="str">
        <f>VLOOKUP(F524,'[1]BASE DE DADOS'!$A:$C,3,0)</f>
        <v>Hiago Vinicius Alves Dos Santos Silva</v>
      </c>
    </row>
    <row r="525" spans="1:10" x14ac:dyDescent="0.25">
      <c r="A525" s="40" t="s">
        <v>1550</v>
      </c>
      <c r="B525" s="41">
        <v>999882030946454</v>
      </c>
      <c r="C525" s="40" t="s">
        <v>40</v>
      </c>
      <c r="D525" s="40" t="s">
        <v>10</v>
      </c>
      <c r="E525" s="40" t="s">
        <v>1551</v>
      </c>
      <c r="F525" s="40" t="s">
        <v>1339</v>
      </c>
      <c r="G525" s="40" t="s">
        <v>1141</v>
      </c>
      <c r="H525" s="40" t="s">
        <v>1552</v>
      </c>
      <c r="I525" s="37" t="s">
        <v>32</v>
      </c>
      <c r="J525" t="str">
        <f>VLOOKUP(F525,'[1]BASE DE DADOS'!$A:$C,3,0)</f>
        <v>Eduardo Carvalho Vieira dos Santos</v>
      </c>
    </row>
    <row r="526" spans="1:10" x14ac:dyDescent="0.25">
      <c r="A526" s="40" t="s">
        <v>1553</v>
      </c>
      <c r="B526" s="41">
        <v>999882030872717</v>
      </c>
      <c r="C526" s="40" t="s">
        <v>40</v>
      </c>
      <c r="D526" s="40" t="s">
        <v>10</v>
      </c>
      <c r="E526" s="40" t="s">
        <v>1554</v>
      </c>
      <c r="F526" s="40" t="s">
        <v>1270</v>
      </c>
      <c r="G526" s="40" t="s">
        <v>1141</v>
      </c>
      <c r="H526" s="40" t="s">
        <v>1555</v>
      </c>
      <c r="I526" s="37" t="s">
        <v>32</v>
      </c>
      <c r="J526" t="str">
        <f>VLOOKUP(F526,'[1]BASE DE DADOS'!$A:$C,3,0)</f>
        <v xml:space="preserve">Alex Junior Rodrigues dos santos </v>
      </c>
    </row>
    <row r="527" spans="1:10" x14ac:dyDescent="0.25">
      <c r="A527" s="40" t="s">
        <v>1556</v>
      </c>
      <c r="B527" s="41">
        <v>999881990327798</v>
      </c>
      <c r="C527" s="40" t="s">
        <v>40</v>
      </c>
      <c r="D527" s="40" t="s">
        <v>10</v>
      </c>
      <c r="E527" s="40" t="s">
        <v>1557</v>
      </c>
      <c r="F527" s="40" t="s">
        <v>1558</v>
      </c>
      <c r="G527" s="40" t="s">
        <v>1141</v>
      </c>
      <c r="H527" s="40" t="s">
        <v>1559</v>
      </c>
      <c r="I527" s="37" t="s">
        <v>32</v>
      </c>
      <c r="J527" t="str">
        <f>VLOOKUP(F527,'[1]BASE DE DADOS'!$A:$C,3,0)</f>
        <v>Eduardo Carvalho Vieira dos Santos</v>
      </c>
    </row>
    <row r="528" spans="1:10" x14ac:dyDescent="0.25">
      <c r="A528" s="40" t="s">
        <v>1560</v>
      </c>
      <c r="B528" s="41">
        <v>999882035219453</v>
      </c>
      <c r="C528" s="40" t="s">
        <v>40</v>
      </c>
      <c r="D528" s="40" t="s">
        <v>10</v>
      </c>
      <c r="E528" s="40" t="s">
        <v>1561</v>
      </c>
      <c r="F528" s="40" t="s">
        <v>1562</v>
      </c>
      <c r="G528" s="40" t="s">
        <v>1141</v>
      </c>
      <c r="H528" s="40" t="s">
        <v>1563</v>
      </c>
      <c r="I528" s="37" t="s">
        <v>32</v>
      </c>
      <c r="J528" t="str">
        <f>VLOOKUP(F528,'[1]BASE DE DADOS'!$A:$C,3,0)</f>
        <v>Eduardo Carvalho Vieira dos Santos</v>
      </c>
    </row>
    <row r="529" spans="1:10" x14ac:dyDescent="0.25">
      <c r="A529" s="40" t="s">
        <v>1564</v>
      </c>
      <c r="B529" s="41">
        <v>999882023309370</v>
      </c>
      <c r="C529" s="40" t="s">
        <v>40</v>
      </c>
      <c r="D529" s="40" t="s">
        <v>10</v>
      </c>
      <c r="E529" s="40" t="s">
        <v>1565</v>
      </c>
      <c r="F529" s="40" t="s">
        <v>1356</v>
      </c>
      <c r="G529" s="40" t="s">
        <v>1141</v>
      </c>
      <c r="H529" s="40" t="s">
        <v>1566</v>
      </c>
      <c r="I529" s="37" t="s">
        <v>32</v>
      </c>
      <c r="J529" t="str">
        <f>VLOOKUP(F529,'[1]BASE DE DADOS'!$A:$C,3,0)</f>
        <v>Cleber Silvestre Almeida e Silva</v>
      </c>
    </row>
    <row r="530" spans="1:10" x14ac:dyDescent="0.25">
      <c r="A530" s="40" t="s">
        <v>1567</v>
      </c>
      <c r="B530" s="41">
        <v>999881927855791</v>
      </c>
      <c r="C530" s="40" t="s">
        <v>40</v>
      </c>
      <c r="D530" s="40" t="s">
        <v>10</v>
      </c>
      <c r="E530" s="40" t="s">
        <v>1568</v>
      </c>
      <c r="F530" s="40" t="s">
        <v>1161</v>
      </c>
      <c r="G530" s="40" t="s">
        <v>1141</v>
      </c>
      <c r="H530" s="40" t="s">
        <v>1569</v>
      </c>
      <c r="I530" s="37" t="s">
        <v>32</v>
      </c>
      <c r="J530" t="str">
        <f>VLOOKUP(F530,'[1]BASE DE DADOS'!$A:$C,3,0)</f>
        <v xml:space="preserve">Alex Junior Rodrigues dos santos </v>
      </c>
    </row>
    <row r="531" spans="1:10" x14ac:dyDescent="0.25">
      <c r="A531" s="40" t="s">
        <v>1570</v>
      </c>
      <c r="B531" s="41">
        <v>999882010106419</v>
      </c>
      <c r="C531" s="40" t="s">
        <v>40</v>
      </c>
      <c r="D531" s="40" t="s">
        <v>10</v>
      </c>
      <c r="E531" s="40" t="s">
        <v>1571</v>
      </c>
      <c r="F531" s="40" t="s">
        <v>1247</v>
      </c>
      <c r="G531" s="40" t="s">
        <v>1141</v>
      </c>
      <c r="H531" s="40" t="s">
        <v>1572</v>
      </c>
      <c r="I531" s="37" t="s">
        <v>32</v>
      </c>
      <c r="J531" t="str">
        <f>VLOOKUP(F531,'[1]BASE DE DADOS'!$A:$C,3,0)</f>
        <v>Cleber Silvestre Almeida e Silva</v>
      </c>
    </row>
    <row r="532" spans="1:10" x14ac:dyDescent="0.25">
      <c r="A532" s="40" t="s">
        <v>1573</v>
      </c>
      <c r="B532" s="41">
        <v>999881911089321</v>
      </c>
      <c r="C532" s="40" t="s">
        <v>40</v>
      </c>
      <c r="D532" s="40" t="s">
        <v>10</v>
      </c>
      <c r="E532" s="40" t="s">
        <v>1574</v>
      </c>
      <c r="F532" s="40" t="s">
        <v>1200</v>
      </c>
      <c r="G532" s="40" t="s">
        <v>1141</v>
      </c>
      <c r="H532" s="40" t="s">
        <v>1575</v>
      </c>
      <c r="I532" s="37" t="s">
        <v>32</v>
      </c>
      <c r="J532" t="str">
        <f>VLOOKUP(F532,'[1]BASE DE DADOS'!$A:$C,3,0)</f>
        <v>Cleber Silvestre Almeida e Silva</v>
      </c>
    </row>
    <row r="533" spans="1:10" x14ac:dyDescent="0.25">
      <c r="A533" s="40" t="s">
        <v>1576</v>
      </c>
      <c r="B533" s="41">
        <v>999881977917875</v>
      </c>
      <c r="C533" s="40" t="s">
        <v>40</v>
      </c>
      <c r="D533" s="40" t="s">
        <v>10</v>
      </c>
      <c r="E533" s="40" t="s">
        <v>1577</v>
      </c>
      <c r="F533" s="40" t="s">
        <v>1578</v>
      </c>
      <c r="G533" s="40" t="s">
        <v>1141</v>
      </c>
      <c r="H533" s="40" t="s">
        <v>1579</v>
      </c>
      <c r="I533" s="37" t="s">
        <v>32</v>
      </c>
      <c r="J533" t="str">
        <f>VLOOKUP(F533,'[1]BASE DE DADOS'!$A:$C,3,0)</f>
        <v>Hiago Vinicius Alves Dos Santos Silva</v>
      </c>
    </row>
    <row r="534" spans="1:10" x14ac:dyDescent="0.25">
      <c r="A534" s="40" t="s">
        <v>1580</v>
      </c>
      <c r="B534" s="41">
        <v>999882021670141</v>
      </c>
      <c r="C534" s="40" t="s">
        <v>40</v>
      </c>
      <c r="D534" s="40" t="s">
        <v>10</v>
      </c>
      <c r="E534" s="40" t="s">
        <v>1581</v>
      </c>
      <c r="F534" s="40" t="s">
        <v>1417</v>
      </c>
      <c r="G534" s="40" t="s">
        <v>1141</v>
      </c>
      <c r="H534" s="40" t="s">
        <v>1582</v>
      </c>
      <c r="I534" s="37" t="s">
        <v>32</v>
      </c>
      <c r="J534" t="str">
        <f>VLOOKUP(F534,'[1]BASE DE DADOS'!$A:$C,3,0)</f>
        <v>Cleber Silvestre Almeida e Silva</v>
      </c>
    </row>
    <row r="535" spans="1:10" x14ac:dyDescent="0.25">
      <c r="A535" s="40" t="s">
        <v>1583</v>
      </c>
      <c r="B535" s="41">
        <v>999881942241410</v>
      </c>
      <c r="C535" s="40" t="s">
        <v>41</v>
      </c>
      <c r="D535" s="40" t="s">
        <v>10</v>
      </c>
      <c r="E535" s="40" t="s">
        <v>1584</v>
      </c>
      <c r="F535" s="40" t="s">
        <v>1225</v>
      </c>
      <c r="G535" s="40" t="s">
        <v>1141</v>
      </c>
      <c r="H535" s="40">
        <v>0</v>
      </c>
      <c r="I535" s="37" t="s">
        <v>33</v>
      </c>
      <c r="J535" t="str">
        <f>VLOOKUP(F535,'[1]BASE DE DADOS'!$A:$C,3,0)</f>
        <v>Eduardo Carvalho Vieira dos Santos</v>
      </c>
    </row>
    <row r="536" spans="1:10" x14ac:dyDescent="0.25">
      <c r="A536" s="40" t="s">
        <v>1585</v>
      </c>
      <c r="B536" s="41">
        <v>999881943256051</v>
      </c>
      <c r="C536" s="40" t="s">
        <v>41</v>
      </c>
      <c r="D536" s="40" t="s">
        <v>10</v>
      </c>
      <c r="E536" s="40" t="s">
        <v>1586</v>
      </c>
      <c r="F536" s="40" t="s">
        <v>1369</v>
      </c>
      <c r="G536" s="40" t="s">
        <v>1141</v>
      </c>
      <c r="H536" s="40">
        <v>0</v>
      </c>
      <c r="I536" s="37" t="s">
        <v>33</v>
      </c>
      <c r="J536" t="str">
        <f>VLOOKUP(F536,'[1]BASE DE DADOS'!$A:$C,3,0)</f>
        <v>Eduardo Carvalho Vieira dos Santos</v>
      </c>
    </row>
    <row r="537" spans="1:10" x14ac:dyDescent="0.25">
      <c r="A537" s="40" t="s">
        <v>1587</v>
      </c>
      <c r="B537" s="41">
        <v>999882023915526</v>
      </c>
      <c r="C537" s="40" t="s">
        <v>40</v>
      </c>
      <c r="D537" s="40" t="s">
        <v>10</v>
      </c>
      <c r="E537" s="40" t="s">
        <v>1588</v>
      </c>
      <c r="F537" s="40" t="s">
        <v>1352</v>
      </c>
      <c r="G537" s="40" t="s">
        <v>1141</v>
      </c>
      <c r="H537" s="40" t="s">
        <v>1589</v>
      </c>
      <c r="I537" s="37" t="s">
        <v>32</v>
      </c>
      <c r="J537" t="str">
        <f>VLOOKUP(F537,'[1]BASE DE DADOS'!$A:$C,3,0)</f>
        <v>Hiago Vinicius Alves Dos Santos Silva</v>
      </c>
    </row>
    <row r="538" spans="1:10" x14ac:dyDescent="0.25">
      <c r="A538" s="40" t="s">
        <v>1590</v>
      </c>
      <c r="B538" s="41">
        <v>999882062346672</v>
      </c>
      <c r="C538" s="40" t="s">
        <v>40</v>
      </c>
      <c r="D538" s="40" t="s">
        <v>10</v>
      </c>
      <c r="E538" s="40" t="s">
        <v>325</v>
      </c>
      <c r="F538" s="40" t="s">
        <v>1309</v>
      </c>
      <c r="G538" s="40" t="s">
        <v>1141</v>
      </c>
      <c r="H538" s="40" t="s">
        <v>1591</v>
      </c>
      <c r="I538" s="37" t="s">
        <v>32</v>
      </c>
      <c r="J538" t="str">
        <f>VLOOKUP(F538,'[1]BASE DE DADOS'!$A:$C,3,0)</f>
        <v xml:space="preserve">Alex Junior Rodrigues dos santos </v>
      </c>
    </row>
    <row r="539" spans="1:10" x14ac:dyDescent="0.25">
      <c r="A539" s="40" t="s">
        <v>1592</v>
      </c>
      <c r="B539" s="41">
        <v>999881999180771</v>
      </c>
      <c r="C539" s="40" t="s">
        <v>40</v>
      </c>
      <c r="D539" s="40" t="s">
        <v>10</v>
      </c>
      <c r="E539" s="40" t="s">
        <v>1593</v>
      </c>
      <c r="F539" s="40" t="s">
        <v>1594</v>
      </c>
      <c r="G539" s="40" t="s">
        <v>1141</v>
      </c>
      <c r="H539" s="40" t="s">
        <v>1595</v>
      </c>
      <c r="I539" s="37" t="s">
        <v>32</v>
      </c>
      <c r="J539" t="str">
        <f>VLOOKUP(F539,'[1]BASE DE DADOS'!$A:$C,3,0)</f>
        <v xml:space="preserve">Alex Junior Rodrigues dos santos </v>
      </c>
    </row>
    <row r="540" spans="1:10" x14ac:dyDescent="0.25">
      <c r="A540" s="40" t="s">
        <v>1596</v>
      </c>
      <c r="B540" s="41">
        <v>999882028483906</v>
      </c>
      <c r="C540" s="40" t="s">
        <v>40</v>
      </c>
      <c r="D540" s="40" t="s">
        <v>10</v>
      </c>
      <c r="E540" s="40" t="s">
        <v>1597</v>
      </c>
      <c r="F540" s="40" t="s">
        <v>1140</v>
      </c>
      <c r="G540" s="40" t="s">
        <v>1141</v>
      </c>
      <c r="H540" s="40">
        <v>0</v>
      </c>
      <c r="I540" s="37" t="s">
        <v>33</v>
      </c>
      <c r="J540" t="str">
        <f>VLOOKUP(F540,'[1]BASE DE DADOS'!$A:$C,3,0)</f>
        <v xml:space="preserve">Alex Junior Rodrigues dos santos </v>
      </c>
    </row>
    <row r="541" spans="1:10" x14ac:dyDescent="0.25">
      <c r="A541" s="40" t="s">
        <v>1598</v>
      </c>
      <c r="B541" s="41">
        <v>999881937214849</v>
      </c>
      <c r="C541" s="40" t="s">
        <v>40</v>
      </c>
      <c r="D541" s="40" t="s">
        <v>10</v>
      </c>
      <c r="E541" s="40" t="s">
        <v>1599</v>
      </c>
      <c r="F541" s="40" t="s">
        <v>1200</v>
      </c>
      <c r="G541" s="40" t="s">
        <v>1141</v>
      </c>
      <c r="H541" s="40">
        <v>0</v>
      </c>
      <c r="I541" s="37" t="s">
        <v>33</v>
      </c>
      <c r="J541" t="str">
        <f>VLOOKUP(F541,'[1]BASE DE DADOS'!$A:$C,3,0)</f>
        <v>Cleber Silvestre Almeida e Silva</v>
      </c>
    </row>
    <row r="542" spans="1:10" x14ac:dyDescent="0.25">
      <c r="A542" s="40" t="s">
        <v>1600</v>
      </c>
      <c r="B542" s="41">
        <v>999881924474573</v>
      </c>
      <c r="C542" s="40" t="s">
        <v>40</v>
      </c>
      <c r="D542" s="40" t="s">
        <v>10</v>
      </c>
      <c r="E542" s="40" t="s">
        <v>1601</v>
      </c>
      <c r="F542" s="40" t="s">
        <v>1200</v>
      </c>
      <c r="G542" s="40" t="s">
        <v>1141</v>
      </c>
      <c r="H542" s="40">
        <v>0</v>
      </c>
      <c r="I542" s="37" t="s">
        <v>33</v>
      </c>
      <c r="J542" t="str">
        <f>VLOOKUP(F542,'[1]BASE DE DADOS'!$A:$C,3,0)</f>
        <v>Cleber Silvestre Almeida e Silva</v>
      </c>
    </row>
    <row r="543" spans="1:10" x14ac:dyDescent="0.25">
      <c r="A543" s="40" t="s">
        <v>1602</v>
      </c>
      <c r="B543" s="41">
        <v>999881976253143</v>
      </c>
      <c r="C543" s="40" t="s">
        <v>40</v>
      </c>
      <c r="D543" s="40" t="s">
        <v>10</v>
      </c>
      <c r="E543" s="40" t="s">
        <v>1603</v>
      </c>
      <c r="F543" s="40" t="s">
        <v>1465</v>
      </c>
      <c r="G543" s="40" t="s">
        <v>1141</v>
      </c>
      <c r="H543" s="40" t="s">
        <v>1604</v>
      </c>
      <c r="I543" s="37" t="s">
        <v>32</v>
      </c>
      <c r="J543" t="str">
        <f>VLOOKUP(F543,'[1]BASE DE DADOS'!$A:$C,3,0)</f>
        <v>Eduardo Carvalho Vieira dos Santos</v>
      </c>
    </row>
    <row r="544" spans="1:10" x14ac:dyDescent="0.25">
      <c r="A544" s="40" t="s">
        <v>1605</v>
      </c>
      <c r="B544" s="41">
        <v>999881927165946</v>
      </c>
      <c r="C544" s="40" t="s">
        <v>40</v>
      </c>
      <c r="D544" s="40" t="s">
        <v>10</v>
      </c>
      <c r="E544" s="40" t="s">
        <v>1606</v>
      </c>
      <c r="F544" s="40" t="s">
        <v>1200</v>
      </c>
      <c r="G544" s="40" t="s">
        <v>1141</v>
      </c>
      <c r="H544" s="40">
        <v>0</v>
      </c>
      <c r="I544" s="37" t="s">
        <v>33</v>
      </c>
      <c r="J544" t="str">
        <f>VLOOKUP(F544,'[1]BASE DE DADOS'!$A:$C,3,0)</f>
        <v>Cleber Silvestre Almeida e Silva</v>
      </c>
    </row>
    <row r="545" spans="1:10" x14ac:dyDescent="0.25">
      <c r="A545" s="40" t="s">
        <v>1607</v>
      </c>
      <c r="B545" s="41">
        <v>999882034957745</v>
      </c>
      <c r="C545" s="40" t="s">
        <v>40</v>
      </c>
      <c r="D545" s="40" t="s">
        <v>10</v>
      </c>
      <c r="E545" s="40" t="s">
        <v>1608</v>
      </c>
      <c r="F545" s="40" t="s">
        <v>1609</v>
      </c>
      <c r="G545" s="40" t="s">
        <v>1141</v>
      </c>
      <c r="H545" s="40" t="s">
        <v>1610</v>
      </c>
      <c r="I545" s="37" t="s">
        <v>32</v>
      </c>
      <c r="J545" t="str">
        <f>VLOOKUP(F545,'[1]BASE DE DADOS'!$A:$C,3,0)</f>
        <v>Eduardo Carvalho Vieira dos Santos</v>
      </c>
    </row>
    <row r="546" spans="1:10" x14ac:dyDescent="0.25">
      <c r="A546" s="40" t="s">
        <v>1611</v>
      </c>
      <c r="B546" s="41">
        <v>999882016019932</v>
      </c>
      <c r="C546" s="40" t="s">
        <v>40</v>
      </c>
      <c r="D546" s="40" t="s">
        <v>10</v>
      </c>
      <c r="E546" s="40" t="s">
        <v>1612</v>
      </c>
      <c r="F546" s="40" t="s">
        <v>1165</v>
      </c>
      <c r="G546" s="40" t="s">
        <v>1141</v>
      </c>
      <c r="H546" s="40" t="s">
        <v>1613</v>
      </c>
      <c r="I546" s="37" t="s">
        <v>32</v>
      </c>
      <c r="J546" t="str">
        <f>VLOOKUP(F546,'[1]BASE DE DADOS'!$A:$C,3,0)</f>
        <v>Eduardo Carvalho Vieira dos Santos</v>
      </c>
    </row>
    <row r="547" spans="1:10" x14ac:dyDescent="0.25">
      <c r="A547" s="40" t="s">
        <v>1614</v>
      </c>
      <c r="B547" s="41">
        <v>999881963130704</v>
      </c>
      <c r="C547" s="40" t="s">
        <v>40</v>
      </c>
      <c r="D547" s="40" t="s">
        <v>10</v>
      </c>
      <c r="E547" s="40" t="s">
        <v>1615</v>
      </c>
      <c r="F547" s="40" t="s">
        <v>1616</v>
      </c>
      <c r="G547" s="40" t="s">
        <v>1141</v>
      </c>
      <c r="H547" s="40" t="s">
        <v>1617</v>
      </c>
      <c r="I547" s="37" t="s">
        <v>32</v>
      </c>
      <c r="J547" t="str">
        <f>VLOOKUP(F547,'[1]BASE DE DADOS'!$A:$C,3,0)</f>
        <v>Cleber Silvestre Almeida e Silva</v>
      </c>
    </row>
    <row r="548" spans="1:10" x14ac:dyDescent="0.25">
      <c r="A548" s="40" t="s">
        <v>1618</v>
      </c>
      <c r="B548" s="41">
        <v>999882041731743</v>
      </c>
      <c r="C548" s="40" t="s">
        <v>40</v>
      </c>
      <c r="D548" s="40" t="s">
        <v>10</v>
      </c>
      <c r="E548" s="40" t="s">
        <v>1619</v>
      </c>
      <c r="F548" s="40" t="s">
        <v>1270</v>
      </c>
      <c r="G548" s="40" t="s">
        <v>1141</v>
      </c>
      <c r="H548" s="40" t="s">
        <v>1620</v>
      </c>
      <c r="I548" s="37" t="s">
        <v>32</v>
      </c>
      <c r="J548" t="str">
        <f>VLOOKUP(F548,'[1]BASE DE DADOS'!$A:$C,3,0)</f>
        <v xml:space="preserve">Alex Junior Rodrigues dos santos </v>
      </c>
    </row>
    <row r="549" spans="1:10" x14ac:dyDescent="0.25">
      <c r="A549" s="40" t="s">
        <v>1621</v>
      </c>
      <c r="B549" s="41">
        <v>999882016263622</v>
      </c>
      <c r="C549" s="40" t="s">
        <v>40</v>
      </c>
      <c r="D549" s="40" t="s">
        <v>10</v>
      </c>
      <c r="E549" s="40" t="s">
        <v>1622</v>
      </c>
      <c r="F549" s="40" t="s">
        <v>1417</v>
      </c>
      <c r="G549" s="40" t="s">
        <v>1141</v>
      </c>
      <c r="H549" s="40" t="s">
        <v>1582</v>
      </c>
      <c r="I549" s="37" t="s">
        <v>32</v>
      </c>
      <c r="J549" t="str">
        <f>VLOOKUP(F549,'[1]BASE DE DADOS'!$A:$C,3,0)</f>
        <v>Cleber Silvestre Almeida e Silva</v>
      </c>
    </row>
    <row r="550" spans="1:10" x14ac:dyDescent="0.25">
      <c r="A550" s="40" t="s">
        <v>1623</v>
      </c>
      <c r="B550" s="41">
        <v>999881957867329</v>
      </c>
      <c r="C550" s="40" t="s">
        <v>40</v>
      </c>
      <c r="D550" s="40" t="s">
        <v>10</v>
      </c>
      <c r="E550" s="40" t="s">
        <v>1624</v>
      </c>
      <c r="F550" s="40" t="s">
        <v>1625</v>
      </c>
      <c r="G550" s="40" t="s">
        <v>1141</v>
      </c>
      <c r="H550" s="40" t="s">
        <v>1626</v>
      </c>
      <c r="I550" s="37" t="s">
        <v>32</v>
      </c>
      <c r="J550" t="str">
        <f>VLOOKUP(F550,'[1]BASE DE DADOS'!$A:$C,3,0)</f>
        <v>Eduardo Carvalho Vieira dos Santos</v>
      </c>
    </row>
    <row r="551" spans="1:10" x14ac:dyDescent="0.25">
      <c r="A551" s="40" t="s">
        <v>1627</v>
      </c>
      <c r="B551" s="41">
        <v>999881969674111</v>
      </c>
      <c r="C551" s="40" t="s">
        <v>40</v>
      </c>
      <c r="D551" s="40" t="s">
        <v>10</v>
      </c>
      <c r="E551" s="40" t="s">
        <v>1628</v>
      </c>
      <c r="F551" s="40" t="s">
        <v>1232</v>
      </c>
      <c r="G551" s="40" t="s">
        <v>1141</v>
      </c>
      <c r="H551" s="40" t="s">
        <v>1629</v>
      </c>
      <c r="I551" s="37" t="s">
        <v>32</v>
      </c>
      <c r="J551" t="str">
        <f>VLOOKUP(F551,'[1]BASE DE DADOS'!$A:$C,3,0)</f>
        <v>Eduardo Carvalho Vieira dos Santos</v>
      </c>
    </row>
    <row r="552" spans="1:10" x14ac:dyDescent="0.25">
      <c r="A552" s="40" t="s">
        <v>1630</v>
      </c>
      <c r="B552" s="41">
        <v>999882021619058</v>
      </c>
      <c r="C552" s="40" t="s">
        <v>40</v>
      </c>
      <c r="D552" s="40" t="s">
        <v>10</v>
      </c>
      <c r="E552" s="40" t="s">
        <v>1631</v>
      </c>
      <c r="F552" s="40" t="s">
        <v>1144</v>
      </c>
      <c r="G552" s="40" t="s">
        <v>1141</v>
      </c>
      <c r="H552" s="40">
        <v>0</v>
      </c>
      <c r="I552" s="37" t="s">
        <v>33</v>
      </c>
      <c r="J552" t="str">
        <f>VLOOKUP(F552,'[1]BASE DE DADOS'!$A:$C,3,0)</f>
        <v xml:space="preserve">Alex Junior Rodrigues dos santos </v>
      </c>
    </row>
    <row r="553" spans="1:10" x14ac:dyDescent="0.25">
      <c r="A553" s="40" t="s">
        <v>1632</v>
      </c>
      <c r="B553" s="41">
        <v>999881991742442</v>
      </c>
      <c r="C553" s="40" t="s">
        <v>40</v>
      </c>
      <c r="D553" s="40" t="s">
        <v>10</v>
      </c>
      <c r="E553" s="40" t="s">
        <v>1633</v>
      </c>
      <c r="F553" s="40" t="s">
        <v>1151</v>
      </c>
      <c r="G553" s="40" t="s">
        <v>1141</v>
      </c>
      <c r="H553" s="40" t="s">
        <v>1634</v>
      </c>
      <c r="I553" s="37" t="s">
        <v>32</v>
      </c>
      <c r="J553" t="str">
        <f>VLOOKUP(F553,'[1]BASE DE DADOS'!$A:$C,3,0)</f>
        <v>Hiago Vinicius Alves Dos Santos Silva</v>
      </c>
    </row>
    <row r="554" spans="1:10" x14ac:dyDescent="0.25">
      <c r="A554" s="40" t="s">
        <v>1635</v>
      </c>
      <c r="B554" s="41">
        <v>999882022493700</v>
      </c>
      <c r="C554" s="40" t="s">
        <v>40</v>
      </c>
      <c r="D554" s="40" t="s">
        <v>10</v>
      </c>
      <c r="E554" s="40" t="s">
        <v>1636</v>
      </c>
      <c r="F554" s="40" t="s">
        <v>1352</v>
      </c>
      <c r="G554" s="40" t="s">
        <v>1141</v>
      </c>
      <c r="H554" s="40" t="s">
        <v>1637</v>
      </c>
      <c r="I554" s="37" t="s">
        <v>32</v>
      </c>
      <c r="J554" t="str">
        <f>VLOOKUP(F554,'[1]BASE DE DADOS'!$A:$C,3,0)</f>
        <v>Hiago Vinicius Alves Dos Santos Silva</v>
      </c>
    </row>
    <row r="555" spans="1:10" x14ac:dyDescent="0.25">
      <c r="A555" s="40" t="s">
        <v>1638</v>
      </c>
      <c r="B555" s="41">
        <v>999881973271686</v>
      </c>
      <c r="C555" s="40" t="s">
        <v>40</v>
      </c>
      <c r="D555" s="40" t="s">
        <v>10</v>
      </c>
      <c r="E555" s="40" t="s">
        <v>1636</v>
      </c>
      <c r="F555" s="40" t="s">
        <v>1180</v>
      </c>
      <c r="G555" s="40" t="s">
        <v>1141</v>
      </c>
      <c r="H555" s="40">
        <v>0</v>
      </c>
      <c r="I555" s="37" t="s">
        <v>33</v>
      </c>
      <c r="J555" t="str">
        <f>VLOOKUP(F555,'[1]BASE DE DADOS'!$A:$C,3,0)</f>
        <v xml:space="preserve">Alex Junior Rodrigues dos santos </v>
      </c>
    </row>
    <row r="556" spans="1:10" x14ac:dyDescent="0.25">
      <c r="A556" s="40" t="s">
        <v>1639</v>
      </c>
      <c r="B556" s="41">
        <v>999881957583558</v>
      </c>
      <c r="C556" s="40" t="s">
        <v>40</v>
      </c>
      <c r="D556" s="40" t="s">
        <v>10</v>
      </c>
      <c r="E556" s="40" t="s">
        <v>1640</v>
      </c>
      <c r="F556" s="40" t="s">
        <v>1144</v>
      </c>
      <c r="G556" s="40" t="s">
        <v>1141</v>
      </c>
      <c r="H556" s="40">
        <v>0</v>
      </c>
      <c r="I556" s="37" t="s">
        <v>33</v>
      </c>
      <c r="J556" t="str">
        <f>VLOOKUP(F556,'[1]BASE DE DADOS'!$A:$C,3,0)</f>
        <v xml:space="preserve">Alex Junior Rodrigues dos santos </v>
      </c>
    </row>
    <row r="557" spans="1:10" x14ac:dyDescent="0.25">
      <c r="A557" s="40" t="s">
        <v>1641</v>
      </c>
      <c r="B557" s="41">
        <v>999881973886195</v>
      </c>
      <c r="C557" s="40" t="s">
        <v>41</v>
      </c>
      <c r="D557" s="40" t="s">
        <v>10</v>
      </c>
      <c r="E557" s="40" t="s">
        <v>1642</v>
      </c>
      <c r="F557" s="40" t="s">
        <v>1323</v>
      </c>
      <c r="G557" s="40" t="s">
        <v>1141</v>
      </c>
      <c r="H557" s="40" t="s">
        <v>1643</v>
      </c>
      <c r="I557" s="37" t="s">
        <v>32</v>
      </c>
      <c r="J557" t="str">
        <f>VLOOKUP(F557,'[1]BASE DE DADOS'!$A:$C,3,0)</f>
        <v>Cleber Silvestre Almeida e Silva</v>
      </c>
    </row>
    <row r="558" spans="1:10" x14ac:dyDescent="0.25">
      <c r="A558" s="40" t="s">
        <v>1644</v>
      </c>
      <c r="B558" s="41">
        <v>999882034875253</v>
      </c>
      <c r="C558" s="40" t="s">
        <v>40</v>
      </c>
      <c r="D558" s="40" t="s">
        <v>10</v>
      </c>
      <c r="E558" s="40" t="s">
        <v>1645</v>
      </c>
      <c r="F558" s="40" t="s">
        <v>1646</v>
      </c>
      <c r="G558" s="40" t="s">
        <v>1141</v>
      </c>
      <c r="H558" s="40" t="s">
        <v>1647</v>
      </c>
      <c r="I558" s="37" t="s">
        <v>32</v>
      </c>
      <c r="J558" t="str">
        <f>VLOOKUP(F558,'[1]BASE DE DADOS'!$A:$C,3,0)</f>
        <v>Eduardo Carvalho Vieira dos Santos</v>
      </c>
    </row>
    <row r="559" spans="1:10" x14ac:dyDescent="0.25">
      <c r="A559" s="40" t="s">
        <v>1648</v>
      </c>
      <c r="B559" s="41">
        <v>999881995089517</v>
      </c>
      <c r="C559" s="40" t="s">
        <v>40</v>
      </c>
      <c r="D559" s="40" t="s">
        <v>10</v>
      </c>
      <c r="E559" s="40" t="s">
        <v>1649</v>
      </c>
      <c r="F559" s="40" t="s">
        <v>1646</v>
      </c>
      <c r="G559" s="40" t="s">
        <v>1141</v>
      </c>
      <c r="H559" s="40" t="s">
        <v>1650</v>
      </c>
      <c r="I559" s="37" t="s">
        <v>32</v>
      </c>
      <c r="J559" t="str">
        <f>VLOOKUP(F559,'[1]BASE DE DADOS'!$A:$C,3,0)</f>
        <v>Eduardo Carvalho Vieira dos Santos</v>
      </c>
    </row>
    <row r="560" spans="1:10" x14ac:dyDescent="0.25">
      <c r="A560" s="40" t="s">
        <v>1651</v>
      </c>
      <c r="B560" s="41">
        <v>999882004537990</v>
      </c>
      <c r="C560" s="40" t="s">
        <v>40</v>
      </c>
      <c r="D560" s="40" t="s">
        <v>10</v>
      </c>
      <c r="E560" s="40" t="s">
        <v>1652</v>
      </c>
      <c r="F560" s="40" t="s">
        <v>1221</v>
      </c>
      <c r="G560" s="40" t="s">
        <v>1141</v>
      </c>
      <c r="H560" s="40" t="s">
        <v>1653</v>
      </c>
      <c r="I560" s="37" t="s">
        <v>32</v>
      </c>
      <c r="J560" t="str">
        <f>VLOOKUP(F560,'[1]BASE DE DADOS'!$A:$C,3,0)</f>
        <v>Cleber Silvestre Almeida e Silva</v>
      </c>
    </row>
    <row r="561" spans="1:10" x14ac:dyDescent="0.25">
      <c r="A561" s="40" t="s">
        <v>1654</v>
      </c>
      <c r="B561" s="41">
        <v>999882027213647</v>
      </c>
      <c r="C561" s="40" t="s">
        <v>40</v>
      </c>
      <c r="D561" s="40" t="s">
        <v>10</v>
      </c>
      <c r="E561" s="40" t="s">
        <v>1655</v>
      </c>
      <c r="F561" s="40" t="s">
        <v>1352</v>
      </c>
      <c r="G561" s="40" t="s">
        <v>1141</v>
      </c>
      <c r="H561" s="40" t="s">
        <v>1656</v>
      </c>
      <c r="I561" s="37" t="s">
        <v>32</v>
      </c>
      <c r="J561" t="str">
        <f>VLOOKUP(F561,'[1]BASE DE DADOS'!$A:$C,3,0)</f>
        <v>Hiago Vinicius Alves Dos Santos Silva</v>
      </c>
    </row>
    <row r="562" spans="1:10" x14ac:dyDescent="0.25">
      <c r="A562" s="40" t="s">
        <v>1657</v>
      </c>
      <c r="B562" s="41">
        <v>999882006629125</v>
      </c>
      <c r="C562" s="40" t="s">
        <v>40</v>
      </c>
      <c r="D562" s="40" t="s">
        <v>10</v>
      </c>
      <c r="E562" s="40" t="s">
        <v>1658</v>
      </c>
      <c r="F562" s="40" t="s">
        <v>1384</v>
      </c>
      <c r="G562" s="40" t="s">
        <v>1141</v>
      </c>
      <c r="H562" s="40">
        <v>0</v>
      </c>
      <c r="I562" s="37" t="s">
        <v>33</v>
      </c>
      <c r="J562" t="str">
        <f>VLOOKUP(F562,'[1]BASE DE DADOS'!$A:$C,3,0)</f>
        <v xml:space="preserve">Alex Junior Rodrigues dos santos </v>
      </c>
    </row>
    <row r="563" spans="1:10" x14ac:dyDescent="0.25">
      <c r="A563" s="40" t="s">
        <v>1659</v>
      </c>
      <c r="B563" s="41">
        <v>999882035690310</v>
      </c>
      <c r="C563" s="40" t="s">
        <v>40</v>
      </c>
      <c r="D563" s="40" t="s">
        <v>10</v>
      </c>
      <c r="E563" s="40" t="s">
        <v>1660</v>
      </c>
      <c r="F563" s="40" t="s">
        <v>1151</v>
      </c>
      <c r="G563" s="40" t="s">
        <v>1141</v>
      </c>
      <c r="H563" s="40" t="s">
        <v>1661</v>
      </c>
      <c r="I563" s="37" t="s">
        <v>32</v>
      </c>
      <c r="J563" t="str">
        <f>VLOOKUP(F563,'[1]BASE DE DADOS'!$A:$C,3,0)</f>
        <v>Hiago Vinicius Alves Dos Santos Silva</v>
      </c>
    </row>
    <row r="564" spans="1:10" x14ac:dyDescent="0.25">
      <c r="A564" s="40" t="s">
        <v>1662</v>
      </c>
      <c r="B564" s="41">
        <v>999881995045076</v>
      </c>
      <c r="C564" s="40" t="s">
        <v>40</v>
      </c>
      <c r="D564" s="40" t="s">
        <v>10</v>
      </c>
      <c r="E564" s="40" t="s">
        <v>1663</v>
      </c>
      <c r="F564" s="40" t="s">
        <v>1140</v>
      </c>
      <c r="G564" s="40" t="s">
        <v>1141</v>
      </c>
      <c r="H564" s="40">
        <v>0</v>
      </c>
      <c r="I564" s="37" t="s">
        <v>33</v>
      </c>
      <c r="J564" t="str">
        <f>VLOOKUP(F564,'[1]BASE DE DADOS'!$A:$C,3,0)</f>
        <v xml:space="preserve">Alex Junior Rodrigues dos santos </v>
      </c>
    </row>
    <row r="565" spans="1:10" x14ac:dyDescent="0.25">
      <c r="A565" s="40" t="s">
        <v>1664</v>
      </c>
      <c r="B565" s="41">
        <v>999881946178015</v>
      </c>
      <c r="C565" s="40" t="s">
        <v>41</v>
      </c>
      <c r="D565" s="40" t="s">
        <v>10</v>
      </c>
      <c r="E565" s="40" t="s">
        <v>1665</v>
      </c>
      <c r="F565" s="40" t="s">
        <v>1666</v>
      </c>
      <c r="G565" s="40" t="s">
        <v>1141</v>
      </c>
      <c r="H565" s="40">
        <v>0</v>
      </c>
      <c r="I565" s="37" t="s">
        <v>33</v>
      </c>
      <c r="J565" t="str">
        <f>VLOOKUP(F565,'[1]BASE DE DADOS'!$A:$C,3,0)</f>
        <v>Cleber Silvestre Almeida e Silva</v>
      </c>
    </row>
    <row r="566" spans="1:10" x14ac:dyDescent="0.25">
      <c r="A566" s="40" t="s">
        <v>1667</v>
      </c>
      <c r="B566" s="41">
        <v>999881976860910</v>
      </c>
      <c r="C566" s="40" t="s">
        <v>40</v>
      </c>
      <c r="D566" s="40" t="s">
        <v>10</v>
      </c>
      <c r="E566" s="40" t="s">
        <v>1668</v>
      </c>
      <c r="F566" s="40" t="s">
        <v>1200</v>
      </c>
      <c r="G566" s="40" t="s">
        <v>1141</v>
      </c>
      <c r="H566" s="40" t="s">
        <v>1669</v>
      </c>
      <c r="I566" s="37" t="s">
        <v>32</v>
      </c>
      <c r="J566" t="str">
        <f>VLOOKUP(F566,'[1]BASE DE DADOS'!$A:$C,3,0)</f>
        <v>Cleber Silvestre Almeida e Silva</v>
      </c>
    </row>
    <row r="567" spans="1:10" x14ac:dyDescent="0.25">
      <c r="A567" s="40" t="s">
        <v>1670</v>
      </c>
      <c r="B567" s="41">
        <v>999881993519607</v>
      </c>
      <c r="C567" s="40" t="s">
        <v>40</v>
      </c>
      <c r="D567" s="40" t="s">
        <v>10</v>
      </c>
      <c r="E567" s="40" t="s">
        <v>1671</v>
      </c>
      <c r="F567" s="40" t="s">
        <v>1144</v>
      </c>
      <c r="G567" s="40" t="s">
        <v>1141</v>
      </c>
      <c r="H567" s="40" t="s">
        <v>1672</v>
      </c>
      <c r="I567" s="37" t="s">
        <v>32</v>
      </c>
      <c r="J567" t="str">
        <f>VLOOKUP(F567,'[1]BASE DE DADOS'!$A:$C,3,0)</f>
        <v xml:space="preserve">Alex Junior Rodrigues dos santos </v>
      </c>
    </row>
    <row r="568" spans="1:10" x14ac:dyDescent="0.25">
      <c r="A568" s="40" t="s">
        <v>1673</v>
      </c>
      <c r="B568" s="41">
        <v>999881966893791</v>
      </c>
      <c r="C568" s="40" t="s">
        <v>40</v>
      </c>
      <c r="D568" s="40" t="s">
        <v>10</v>
      </c>
      <c r="E568" s="40" t="s">
        <v>1674</v>
      </c>
      <c r="F568" s="40" t="s">
        <v>1675</v>
      </c>
      <c r="G568" s="40" t="s">
        <v>1141</v>
      </c>
      <c r="H568" s="40" t="s">
        <v>1676</v>
      </c>
      <c r="I568" s="37" t="s">
        <v>32</v>
      </c>
      <c r="J568" t="str">
        <f>VLOOKUP(F568,'[1]BASE DE DADOS'!$A:$C,3,0)</f>
        <v>Cleber Silvestre Almeida e Silva</v>
      </c>
    </row>
    <row r="569" spans="1:10" x14ac:dyDescent="0.25">
      <c r="A569" s="40" t="s">
        <v>1677</v>
      </c>
      <c r="B569" s="41">
        <v>999881942996191</v>
      </c>
      <c r="C569" s="40" t="s">
        <v>41</v>
      </c>
      <c r="D569" s="40" t="s">
        <v>10</v>
      </c>
      <c r="E569" s="40" t="s">
        <v>1678</v>
      </c>
      <c r="F569" s="40" t="s">
        <v>1332</v>
      </c>
      <c r="G569" s="40" t="s">
        <v>1141</v>
      </c>
      <c r="H569" s="40">
        <v>0</v>
      </c>
      <c r="I569" s="37" t="s">
        <v>33</v>
      </c>
      <c r="J569" t="str">
        <f>VLOOKUP(F569,'[1]BASE DE DADOS'!$A:$C,3,0)</f>
        <v xml:space="preserve">Alex Junior Rodrigues dos santos </v>
      </c>
    </row>
    <row r="570" spans="1:10" x14ac:dyDescent="0.25">
      <c r="A570" s="40" t="s">
        <v>1679</v>
      </c>
      <c r="B570" s="41">
        <v>999881956441040</v>
      </c>
      <c r="C570" s="40" t="s">
        <v>40</v>
      </c>
      <c r="D570" s="40" t="s">
        <v>10</v>
      </c>
      <c r="E570" s="40" t="s">
        <v>1680</v>
      </c>
      <c r="F570" s="40" t="s">
        <v>1616</v>
      </c>
      <c r="G570" s="40" t="s">
        <v>1141</v>
      </c>
      <c r="H570" s="40" t="s">
        <v>1681</v>
      </c>
      <c r="I570" s="37" t="s">
        <v>32</v>
      </c>
      <c r="J570" t="str">
        <f>VLOOKUP(F570,'[1]BASE DE DADOS'!$A:$C,3,0)</f>
        <v>Cleber Silvestre Almeida e Silva</v>
      </c>
    </row>
    <row r="571" spans="1:10" x14ac:dyDescent="0.25">
      <c r="A571" s="40" t="s">
        <v>1682</v>
      </c>
      <c r="B571" s="41">
        <v>999882020672371</v>
      </c>
      <c r="C571" s="40" t="s">
        <v>40</v>
      </c>
      <c r="D571" s="40" t="s">
        <v>10</v>
      </c>
      <c r="E571" s="40" t="s">
        <v>1683</v>
      </c>
      <c r="F571" s="40" t="s">
        <v>1684</v>
      </c>
      <c r="G571" s="40" t="s">
        <v>1141</v>
      </c>
      <c r="H571" s="40" t="s">
        <v>1685</v>
      </c>
      <c r="I571" s="37" t="s">
        <v>32</v>
      </c>
      <c r="J571" t="str">
        <f>VLOOKUP(F571,'[1]BASE DE DADOS'!$A:$C,3,0)</f>
        <v>Eduardo Carvalho Vieira dos Santos</v>
      </c>
    </row>
    <row r="572" spans="1:10" x14ac:dyDescent="0.25">
      <c r="A572" s="40" t="s">
        <v>1686</v>
      </c>
      <c r="B572" s="41">
        <v>999882040084043</v>
      </c>
      <c r="C572" s="40" t="s">
        <v>40</v>
      </c>
      <c r="D572" s="40" t="s">
        <v>10</v>
      </c>
      <c r="E572" s="40" t="s">
        <v>1687</v>
      </c>
      <c r="F572" s="40" t="s">
        <v>1507</v>
      </c>
      <c r="G572" s="40" t="s">
        <v>1141</v>
      </c>
      <c r="H572" s="40" t="s">
        <v>1688</v>
      </c>
      <c r="I572" s="37" t="s">
        <v>32</v>
      </c>
      <c r="J572" t="str">
        <f>VLOOKUP(F572,'[1]BASE DE DADOS'!$A:$C,3,0)</f>
        <v>Cleber Silvestre Almeida e Silva</v>
      </c>
    </row>
    <row r="573" spans="1:10" x14ac:dyDescent="0.25">
      <c r="A573" s="40" t="s">
        <v>1689</v>
      </c>
      <c r="B573" s="41">
        <v>999882029870112</v>
      </c>
      <c r="C573" s="40" t="s">
        <v>40</v>
      </c>
      <c r="D573" s="40" t="s">
        <v>10</v>
      </c>
      <c r="E573" s="40" t="s">
        <v>1690</v>
      </c>
      <c r="F573" s="40" t="s">
        <v>1507</v>
      </c>
      <c r="G573" s="40" t="s">
        <v>1141</v>
      </c>
      <c r="H573" s="40" t="s">
        <v>1688</v>
      </c>
      <c r="I573" s="37" t="s">
        <v>32</v>
      </c>
      <c r="J573" t="str">
        <f>VLOOKUP(F573,'[1]BASE DE DADOS'!$A:$C,3,0)</f>
        <v>Cleber Silvestre Almeida e Silva</v>
      </c>
    </row>
    <row r="574" spans="1:10" x14ac:dyDescent="0.25">
      <c r="A574" s="40" t="s">
        <v>1691</v>
      </c>
      <c r="B574" s="41">
        <v>999881942864411</v>
      </c>
      <c r="C574" s="40" t="s">
        <v>40</v>
      </c>
      <c r="D574" s="40" t="s">
        <v>10</v>
      </c>
      <c r="E574" s="40" t="s">
        <v>1692</v>
      </c>
      <c r="F574" s="40" t="s">
        <v>1274</v>
      </c>
      <c r="G574" s="40" t="s">
        <v>1141</v>
      </c>
      <c r="H574" s="40" t="s">
        <v>1693</v>
      </c>
      <c r="I574" s="37" t="s">
        <v>32</v>
      </c>
      <c r="J574" t="str">
        <f>VLOOKUP(F574,'[1]BASE DE DADOS'!$A:$C,3,0)</f>
        <v>Hiago Vinicius Alves Dos Santos Silva</v>
      </c>
    </row>
    <row r="575" spans="1:10" x14ac:dyDescent="0.25">
      <c r="A575" s="40" t="s">
        <v>1694</v>
      </c>
      <c r="B575" s="41">
        <v>999881997011815</v>
      </c>
      <c r="C575" s="40" t="s">
        <v>40</v>
      </c>
      <c r="D575" s="40" t="s">
        <v>10</v>
      </c>
      <c r="E575" s="40" t="s">
        <v>1695</v>
      </c>
      <c r="F575" s="40" t="s">
        <v>1144</v>
      </c>
      <c r="G575" s="40" t="s">
        <v>1141</v>
      </c>
      <c r="H575" s="40">
        <v>0</v>
      </c>
      <c r="I575" s="37" t="s">
        <v>33</v>
      </c>
      <c r="J575" t="str">
        <f>VLOOKUP(F575,'[1]BASE DE DADOS'!$A:$C,3,0)</f>
        <v xml:space="preserve">Alex Junior Rodrigues dos santos </v>
      </c>
    </row>
    <row r="576" spans="1:10" x14ac:dyDescent="0.25">
      <c r="A576" s="40" t="s">
        <v>1696</v>
      </c>
      <c r="B576" s="41">
        <v>999882032723922</v>
      </c>
      <c r="C576" s="40" t="s">
        <v>40</v>
      </c>
      <c r="D576" s="40" t="s">
        <v>10</v>
      </c>
      <c r="E576" s="40" t="s">
        <v>1697</v>
      </c>
      <c r="F576" s="40" t="s">
        <v>1698</v>
      </c>
      <c r="G576" s="40" t="s">
        <v>1141</v>
      </c>
      <c r="H576" s="40" t="s">
        <v>1699</v>
      </c>
      <c r="I576" s="37" t="s">
        <v>32</v>
      </c>
      <c r="J576" t="str">
        <f>VLOOKUP(F576,'[1]BASE DE DADOS'!$A:$C,3,0)</f>
        <v xml:space="preserve">Alex Junior Rodrigues dos santos </v>
      </c>
    </row>
    <row r="577" spans="1:10" x14ac:dyDescent="0.25">
      <c r="A577" s="40" t="s">
        <v>1700</v>
      </c>
      <c r="B577" s="41">
        <v>999881938893016</v>
      </c>
      <c r="C577" s="40" t="s">
        <v>40</v>
      </c>
      <c r="D577" s="40" t="s">
        <v>10</v>
      </c>
      <c r="E577" s="40" t="s">
        <v>1701</v>
      </c>
      <c r="F577" s="40" t="s">
        <v>1140</v>
      </c>
      <c r="G577" s="40" t="s">
        <v>1141</v>
      </c>
      <c r="H577" s="40">
        <v>0</v>
      </c>
      <c r="I577" s="37" t="s">
        <v>33</v>
      </c>
      <c r="J577" t="str">
        <f>VLOOKUP(F577,'[1]BASE DE DADOS'!$A:$C,3,0)</f>
        <v xml:space="preserve">Alex Junior Rodrigues dos santos </v>
      </c>
    </row>
    <row r="578" spans="1:10" x14ac:dyDescent="0.25">
      <c r="A578" s="40" t="s">
        <v>1702</v>
      </c>
      <c r="B578" s="41">
        <v>999882025892732</v>
      </c>
      <c r="C578" s="40" t="s">
        <v>40</v>
      </c>
      <c r="D578" s="40" t="s">
        <v>10</v>
      </c>
      <c r="E578" s="40" t="s">
        <v>1703</v>
      </c>
      <c r="F578" s="40" t="s">
        <v>1228</v>
      </c>
      <c r="G578" s="40" t="s">
        <v>1141</v>
      </c>
      <c r="H578" s="40" t="s">
        <v>1704</v>
      </c>
      <c r="I578" s="37" t="s">
        <v>32</v>
      </c>
      <c r="J578" t="str">
        <f>VLOOKUP(F578,'[1]BASE DE DADOS'!$A:$C,3,0)</f>
        <v>Hiago Vinicius Alves Dos Santos Silva</v>
      </c>
    </row>
    <row r="579" spans="1:10" x14ac:dyDescent="0.25">
      <c r="A579" s="40" t="s">
        <v>1705</v>
      </c>
      <c r="B579" s="41">
        <v>999882010268755</v>
      </c>
      <c r="C579" s="40" t="s">
        <v>40</v>
      </c>
      <c r="D579" s="40" t="s">
        <v>10</v>
      </c>
      <c r="E579" s="40" t="s">
        <v>1706</v>
      </c>
      <c r="F579" s="40" t="s">
        <v>1707</v>
      </c>
      <c r="G579" s="40" t="s">
        <v>1141</v>
      </c>
      <c r="H579" s="40" t="s">
        <v>1708</v>
      </c>
      <c r="I579" s="37" t="s">
        <v>32</v>
      </c>
      <c r="J579" t="str">
        <f>VLOOKUP(F579,'[1]BASE DE DADOS'!$A:$C,3,0)</f>
        <v xml:space="preserve">Alex Junior Rodrigues dos santos </v>
      </c>
    </row>
    <row r="580" spans="1:10" x14ac:dyDescent="0.25">
      <c r="A580" s="40" t="s">
        <v>1709</v>
      </c>
      <c r="B580" s="41">
        <v>999881988011158</v>
      </c>
      <c r="C580" s="40" t="s">
        <v>40</v>
      </c>
      <c r="D580" s="40" t="s">
        <v>10</v>
      </c>
      <c r="E580" s="40" t="s">
        <v>1710</v>
      </c>
      <c r="F580" s="40" t="s">
        <v>1247</v>
      </c>
      <c r="G580" s="40" t="s">
        <v>1141</v>
      </c>
      <c r="H580" s="40">
        <v>0</v>
      </c>
      <c r="I580" s="37" t="s">
        <v>33</v>
      </c>
      <c r="J580" t="str">
        <f>VLOOKUP(F580,'[1]BASE DE DADOS'!$A:$C,3,0)</f>
        <v>Cleber Silvestre Almeida e Silva</v>
      </c>
    </row>
    <row r="581" spans="1:10" x14ac:dyDescent="0.25">
      <c r="A581" s="40" t="s">
        <v>1711</v>
      </c>
      <c r="B581" s="41">
        <v>999881990869105</v>
      </c>
      <c r="C581" s="40" t="s">
        <v>40</v>
      </c>
      <c r="D581" s="40" t="s">
        <v>10</v>
      </c>
      <c r="E581" s="40" t="s">
        <v>1712</v>
      </c>
      <c r="F581" s="40" t="s">
        <v>1332</v>
      </c>
      <c r="G581" s="40" t="s">
        <v>1141</v>
      </c>
      <c r="H581" s="40" t="s">
        <v>1713</v>
      </c>
      <c r="I581" s="37" t="s">
        <v>32</v>
      </c>
      <c r="J581" t="str">
        <f>VLOOKUP(F581,'[1]BASE DE DADOS'!$A:$C,3,0)</f>
        <v xml:space="preserve">Alex Junior Rodrigues dos santos </v>
      </c>
    </row>
    <row r="582" spans="1:10" x14ac:dyDescent="0.25">
      <c r="A582" s="40" t="s">
        <v>1714</v>
      </c>
      <c r="B582" s="41">
        <v>999882025353295</v>
      </c>
      <c r="C582" s="40" t="s">
        <v>40</v>
      </c>
      <c r="D582" s="40" t="s">
        <v>10</v>
      </c>
      <c r="E582" s="40" t="s">
        <v>1715</v>
      </c>
      <c r="F582" s="40" t="s">
        <v>1188</v>
      </c>
      <c r="G582" s="40" t="s">
        <v>1141</v>
      </c>
      <c r="H582" s="40" t="s">
        <v>1716</v>
      </c>
      <c r="I582" s="37" t="s">
        <v>32</v>
      </c>
      <c r="J582" t="str">
        <f>VLOOKUP(F582,'[1]BASE DE DADOS'!$A:$C,3,0)</f>
        <v>Cleber Silvestre Almeida e Silva</v>
      </c>
    </row>
    <row r="583" spans="1:10" x14ac:dyDescent="0.25">
      <c r="A583" s="40" t="s">
        <v>1717</v>
      </c>
      <c r="B583" s="41">
        <v>999882038111151</v>
      </c>
      <c r="C583" s="40" t="s">
        <v>40</v>
      </c>
      <c r="D583" s="40" t="s">
        <v>10</v>
      </c>
      <c r="E583" s="40" t="s">
        <v>1718</v>
      </c>
      <c r="F583" s="40" t="s">
        <v>1274</v>
      </c>
      <c r="G583" s="40" t="s">
        <v>1141</v>
      </c>
      <c r="H583" s="40" t="s">
        <v>1719</v>
      </c>
      <c r="I583" s="37" t="s">
        <v>32</v>
      </c>
      <c r="J583" t="str">
        <f>VLOOKUP(F583,'[1]BASE DE DADOS'!$A:$C,3,0)</f>
        <v>Hiago Vinicius Alves Dos Santos Silva</v>
      </c>
    </row>
    <row r="584" spans="1:10" x14ac:dyDescent="0.25">
      <c r="A584" s="40" t="s">
        <v>1720</v>
      </c>
      <c r="B584" s="41">
        <v>999881996785991</v>
      </c>
      <c r="C584" s="40" t="s">
        <v>40</v>
      </c>
      <c r="D584" s="40" t="s">
        <v>10</v>
      </c>
      <c r="E584" s="40" t="s">
        <v>1721</v>
      </c>
      <c r="F584" s="40" t="s">
        <v>1148</v>
      </c>
      <c r="G584" s="40" t="s">
        <v>1141</v>
      </c>
      <c r="H584" s="40" t="s">
        <v>1722</v>
      </c>
      <c r="I584" s="37" t="s">
        <v>32</v>
      </c>
      <c r="J584" t="str">
        <f>VLOOKUP(F584,'[1]BASE DE DADOS'!$A:$C,3,0)</f>
        <v>Eduardo Carvalho Vieira dos Santos</v>
      </c>
    </row>
    <row r="585" spans="1:10" x14ac:dyDescent="0.25">
      <c r="A585" s="40" t="s">
        <v>1723</v>
      </c>
      <c r="B585" s="41">
        <v>999882011239769</v>
      </c>
      <c r="C585" s="40" t="s">
        <v>40</v>
      </c>
      <c r="D585" s="40" t="s">
        <v>10</v>
      </c>
      <c r="E585" s="40" t="s">
        <v>1724</v>
      </c>
      <c r="F585" s="40" t="s">
        <v>1217</v>
      </c>
      <c r="G585" s="40" t="s">
        <v>1141</v>
      </c>
      <c r="H585" s="40" t="s">
        <v>1725</v>
      </c>
      <c r="I585" s="37" t="s">
        <v>32</v>
      </c>
      <c r="J585" t="str">
        <f>VLOOKUP(F585,'[1]BASE DE DADOS'!$A:$C,3,0)</f>
        <v xml:space="preserve">Alex Junior Rodrigues dos santos </v>
      </c>
    </row>
    <row r="586" spans="1:10" x14ac:dyDescent="0.25">
      <c r="A586" s="40" t="s">
        <v>1726</v>
      </c>
      <c r="B586" s="41">
        <v>999882014160515</v>
      </c>
      <c r="C586" s="40" t="s">
        <v>41</v>
      </c>
      <c r="D586" s="40" t="s">
        <v>10</v>
      </c>
      <c r="E586" s="40" t="s">
        <v>1727</v>
      </c>
      <c r="F586" s="40" t="s">
        <v>1728</v>
      </c>
      <c r="G586" s="40" t="s">
        <v>1141</v>
      </c>
      <c r="H586" s="40">
        <v>0</v>
      </c>
      <c r="I586" s="37" t="s">
        <v>33</v>
      </c>
      <c r="J586" t="str">
        <f>VLOOKUP(F586,'[1]BASE DE DADOS'!$A:$C,3,0)</f>
        <v xml:space="preserve">Alex Junior Rodrigues dos santos </v>
      </c>
    </row>
    <row r="587" spans="1:10" x14ac:dyDescent="0.25">
      <c r="A587" s="40" t="s">
        <v>1729</v>
      </c>
      <c r="B587" s="41">
        <v>999882021815134</v>
      </c>
      <c r="C587" s="40" t="s">
        <v>40</v>
      </c>
      <c r="D587" s="40" t="s">
        <v>10</v>
      </c>
      <c r="E587" s="40" t="s">
        <v>401</v>
      </c>
      <c r="F587" s="40" t="s">
        <v>1472</v>
      </c>
      <c r="G587" s="40" t="s">
        <v>1141</v>
      </c>
      <c r="H587" s="40" t="s">
        <v>1473</v>
      </c>
      <c r="I587" s="37" t="s">
        <v>32</v>
      </c>
      <c r="J587" t="str">
        <f>VLOOKUP(F587,'[1]BASE DE DADOS'!$A:$C,3,0)</f>
        <v xml:space="preserve">Alex Junior Rodrigues dos santos </v>
      </c>
    </row>
    <row r="588" spans="1:10" x14ac:dyDescent="0.25">
      <c r="A588" s="40" t="s">
        <v>1730</v>
      </c>
      <c r="B588" s="41">
        <v>999882000801682</v>
      </c>
      <c r="C588" s="40" t="s">
        <v>40</v>
      </c>
      <c r="D588" s="40" t="s">
        <v>10</v>
      </c>
      <c r="E588" s="40" t="s">
        <v>1731</v>
      </c>
      <c r="F588" s="40" t="s">
        <v>1274</v>
      </c>
      <c r="G588" s="40" t="s">
        <v>1141</v>
      </c>
      <c r="H588" s="40" t="s">
        <v>1732</v>
      </c>
      <c r="I588" s="37" t="s">
        <v>32</v>
      </c>
      <c r="J588" t="str">
        <f>VLOOKUP(F588,'[1]BASE DE DADOS'!$A:$C,3,0)</f>
        <v>Hiago Vinicius Alves Dos Santos Silva</v>
      </c>
    </row>
    <row r="589" spans="1:10" x14ac:dyDescent="0.25">
      <c r="A589" s="40" t="s">
        <v>1733</v>
      </c>
      <c r="B589" s="41">
        <v>999882031283969</v>
      </c>
      <c r="C589" s="40" t="s">
        <v>40</v>
      </c>
      <c r="D589" s="40" t="s">
        <v>10</v>
      </c>
      <c r="E589" s="40" t="s">
        <v>1734</v>
      </c>
      <c r="F589" s="40" t="s">
        <v>1728</v>
      </c>
      <c r="G589" s="40" t="s">
        <v>1141</v>
      </c>
      <c r="H589" s="40" t="s">
        <v>1735</v>
      </c>
      <c r="I589" s="37" t="s">
        <v>32</v>
      </c>
      <c r="J589" t="str">
        <f>VLOOKUP(F589,'[1]BASE DE DADOS'!$A:$C,3,0)</f>
        <v xml:space="preserve">Alex Junior Rodrigues dos santos </v>
      </c>
    </row>
    <row r="590" spans="1:10" x14ac:dyDescent="0.25">
      <c r="A590" s="40" t="s">
        <v>1736</v>
      </c>
      <c r="B590" s="41">
        <v>999882004665505</v>
      </c>
      <c r="C590" s="40" t="s">
        <v>40</v>
      </c>
      <c r="D590" s="40" t="s">
        <v>10</v>
      </c>
      <c r="E590" s="40" t="s">
        <v>1737</v>
      </c>
      <c r="F590" s="40" t="s">
        <v>1161</v>
      </c>
      <c r="G590" s="40" t="s">
        <v>1141</v>
      </c>
      <c r="H590" s="40" t="s">
        <v>1738</v>
      </c>
      <c r="I590" s="37" t="s">
        <v>32</v>
      </c>
      <c r="J590" t="str">
        <f>VLOOKUP(F590,'[1]BASE DE DADOS'!$A:$C,3,0)</f>
        <v xml:space="preserve">Alex Junior Rodrigues dos santos </v>
      </c>
    </row>
    <row r="591" spans="1:10" x14ac:dyDescent="0.25">
      <c r="A591" s="40" t="s">
        <v>1739</v>
      </c>
      <c r="B591" s="41">
        <v>999881966893791</v>
      </c>
      <c r="C591" s="40" t="s">
        <v>40</v>
      </c>
      <c r="D591" s="40" t="s">
        <v>10</v>
      </c>
      <c r="E591" s="40" t="s">
        <v>1740</v>
      </c>
      <c r="F591" s="40" t="s">
        <v>1675</v>
      </c>
      <c r="G591" s="40" t="s">
        <v>1141</v>
      </c>
      <c r="H591" s="40" t="s">
        <v>1676</v>
      </c>
      <c r="I591" s="37" t="s">
        <v>32</v>
      </c>
      <c r="J591" t="str">
        <f>VLOOKUP(F591,'[1]BASE DE DADOS'!$A:$C,3,0)</f>
        <v>Cleber Silvestre Almeida e Silva</v>
      </c>
    </row>
    <row r="592" spans="1:10" x14ac:dyDescent="0.25">
      <c r="A592" s="40" t="s">
        <v>1741</v>
      </c>
      <c r="B592" s="41">
        <v>999881954080897</v>
      </c>
      <c r="C592" s="40" t="s">
        <v>40</v>
      </c>
      <c r="D592" s="40" t="s">
        <v>10</v>
      </c>
      <c r="E592" s="40" t="s">
        <v>1742</v>
      </c>
      <c r="F592" s="40" t="s">
        <v>1165</v>
      </c>
      <c r="G592" s="40" t="s">
        <v>1141</v>
      </c>
      <c r="H592" s="40" t="s">
        <v>1743</v>
      </c>
      <c r="I592" s="37" t="s">
        <v>32</v>
      </c>
      <c r="J592" t="str">
        <f>VLOOKUP(F592,'[1]BASE DE DADOS'!$A:$C,3,0)</f>
        <v>Eduardo Carvalho Vieira dos Santos</v>
      </c>
    </row>
    <row r="593" spans="1:10" x14ac:dyDescent="0.25">
      <c r="A593" s="40" t="s">
        <v>1744</v>
      </c>
      <c r="B593" s="41">
        <v>999882010187446</v>
      </c>
      <c r="C593" s="40" t="s">
        <v>40</v>
      </c>
      <c r="D593" s="40" t="s">
        <v>10</v>
      </c>
      <c r="E593" s="40" t="s">
        <v>1745</v>
      </c>
      <c r="F593" s="40" t="s">
        <v>1140</v>
      </c>
      <c r="G593" s="40" t="s">
        <v>1141</v>
      </c>
      <c r="H593" s="40">
        <v>0</v>
      </c>
      <c r="I593" s="37" t="s">
        <v>33</v>
      </c>
      <c r="J593" t="str">
        <f>VLOOKUP(F593,'[1]BASE DE DADOS'!$A:$C,3,0)</f>
        <v xml:space="preserve">Alex Junior Rodrigues dos santos </v>
      </c>
    </row>
    <row r="594" spans="1:10" x14ac:dyDescent="0.25">
      <c r="A594" s="40" t="s">
        <v>1746</v>
      </c>
      <c r="B594" s="41">
        <v>999881985142010</v>
      </c>
      <c r="C594" s="40" t="s">
        <v>41</v>
      </c>
      <c r="D594" s="40" t="s">
        <v>10</v>
      </c>
      <c r="E594" s="40" t="s">
        <v>1747</v>
      </c>
      <c r="F594" s="40" t="s">
        <v>1594</v>
      </c>
      <c r="G594" s="40" t="s">
        <v>1141</v>
      </c>
      <c r="H594" s="40">
        <v>0</v>
      </c>
      <c r="I594" s="37" t="s">
        <v>33</v>
      </c>
      <c r="J594" t="str">
        <f>VLOOKUP(F594,'[1]BASE DE DADOS'!$A:$C,3,0)</f>
        <v xml:space="preserve">Alex Junior Rodrigues dos santos </v>
      </c>
    </row>
    <row r="595" spans="1:10" x14ac:dyDescent="0.25">
      <c r="A595" s="40" t="s">
        <v>1748</v>
      </c>
      <c r="B595" s="41">
        <v>999882010248849</v>
      </c>
      <c r="C595" s="40" t="s">
        <v>40</v>
      </c>
      <c r="D595" s="40" t="s">
        <v>10</v>
      </c>
      <c r="E595" s="40" t="s">
        <v>1749</v>
      </c>
      <c r="F595" s="40" t="s">
        <v>1221</v>
      </c>
      <c r="G595" s="40" t="s">
        <v>1141</v>
      </c>
      <c r="H595" s="40" t="s">
        <v>1750</v>
      </c>
      <c r="I595" s="37" t="s">
        <v>32</v>
      </c>
      <c r="J595" t="str">
        <f>VLOOKUP(F595,'[1]BASE DE DADOS'!$A:$C,3,0)</f>
        <v>Cleber Silvestre Almeida e Silva</v>
      </c>
    </row>
    <row r="596" spans="1:10" x14ac:dyDescent="0.25">
      <c r="A596" s="40" t="s">
        <v>1751</v>
      </c>
      <c r="B596" s="41">
        <v>999881929595405</v>
      </c>
      <c r="C596" s="40" t="s">
        <v>41</v>
      </c>
      <c r="D596" s="40" t="s">
        <v>10</v>
      </c>
      <c r="E596" s="40" t="s">
        <v>1752</v>
      </c>
      <c r="F596" s="40" t="s">
        <v>1151</v>
      </c>
      <c r="G596" s="40" t="s">
        <v>1141</v>
      </c>
      <c r="H596" s="40">
        <v>0</v>
      </c>
      <c r="I596" s="37" t="s">
        <v>33</v>
      </c>
      <c r="J596" t="str">
        <f>VLOOKUP(F596,'[1]BASE DE DADOS'!$A:$C,3,0)</f>
        <v>Hiago Vinicius Alves Dos Santos Silva</v>
      </c>
    </row>
    <row r="597" spans="1:10" x14ac:dyDescent="0.25">
      <c r="A597" s="40" t="s">
        <v>1753</v>
      </c>
      <c r="B597" s="41">
        <v>999881992847070</v>
      </c>
      <c r="C597" s="40" t="s">
        <v>40</v>
      </c>
      <c r="D597" s="40" t="s">
        <v>10</v>
      </c>
      <c r="E597" s="40" t="s">
        <v>1754</v>
      </c>
      <c r="F597" s="40" t="s">
        <v>1144</v>
      </c>
      <c r="G597" s="40" t="s">
        <v>1141</v>
      </c>
      <c r="H597" s="40" t="s">
        <v>1755</v>
      </c>
      <c r="I597" s="37" t="s">
        <v>32</v>
      </c>
      <c r="J597" t="str">
        <f>VLOOKUP(F597,'[1]BASE DE DADOS'!$A:$C,3,0)</f>
        <v xml:space="preserve">Alex Junior Rodrigues dos santos </v>
      </c>
    </row>
    <row r="598" spans="1:10" x14ac:dyDescent="0.25">
      <c r="A598" s="40" t="s">
        <v>1756</v>
      </c>
      <c r="B598" s="41">
        <v>999882030213360</v>
      </c>
      <c r="C598" s="40" t="s">
        <v>40</v>
      </c>
      <c r="D598" s="40" t="s">
        <v>10</v>
      </c>
      <c r="E598" s="40" t="s">
        <v>1757</v>
      </c>
      <c r="F598" s="40" t="s">
        <v>1758</v>
      </c>
      <c r="G598" s="40" t="s">
        <v>1141</v>
      </c>
      <c r="H598" s="40" t="s">
        <v>1759</v>
      </c>
      <c r="I598" s="37" t="s">
        <v>32</v>
      </c>
      <c r="J598" t="str">
        <f>VLOOKUP(F598,'[1]BASE DE DADOS'!$A:$C,3,0)</f>
        <v xml:space="preserve">Alex Junior Rodrigues dos santos </v>
      </c>
    </row>
    <row r="599" spans="1:10" x14ac:dyDescent="0.25">
      <c r="A599" s="40" t="s">
        <v>1760</v>
      </c>
      <c r="B599" s="41">
        <v>999882036413514</v>
      </c>
      <c r="C599" s="40" t="s">
        <v>40</v>
      </c>
      <c r="D599" s="40" t="s">
        <v>10</v>
      </c>
      <c r="E599" s="40" t="s">
        <v>1761</v>
      </c>
      <c r="F599" s="40" t="s">
        <v>1274</v>
      </c>
      <c r="G599" s="40" t="s">
        <v>1141</v>
      </c>
      <c r="H599" s="40" t="s">
        <v>1762</v>
      </c>
      <c r="I599" s="37" t="s">
        <v>32</v>
      </c>
      <c r="J599" t="str">
        <f>VLOOKUP(F599,'[1]BASE DE DADOS'!$A:$C,3,0)</f>
        <v>Hiago Vinicius Alves Dos Santos Silva</v>
      </c>
    </row>
    <row r="600" spans="1:10" x14ac:dyDescent="0.25">
      <c r="A600" s="40" t="s">
        <v>1763</v>
      </c>
      <c r="B600" s="41">
        <v>999882049084213</v>
      </c>
      <c r="C600" s="40" t="s">
        <v>40</v>
      </c>
      <c r="D600" s="40" t="s">
        <v>10</v>
      </c>
      <c r="E600" s="40" t="s">
        <v>1764</v>
      </c>
      <c r="F600" s="40" t="s">
        <v>1765</v>
      </c>
      <c r="G600" s="40" t="s">
        <v>1141</v>
      </c>
      <c r="H600" s="40" t="s">
        <v>1766</v>
      </c>
      <c r="I600" s="37" t="s">
        <v>32</v>
      </c>
      <c r="J600" t="str">
        <f>VLOOKUP(F600,'[1]BASE DE DADOS'!$A:$C,3,0)</f>
        <v xml:space="preserve">Alex Junior Rodrigues dos santos </v>
      </c>
    </row>
    <row r="601" spans="1:10" x14ac:dyDescent="0.25">
      <c r="A601" s="40" t="s">
        <v>1767</v>
      </c>
      <c r="B601" s="41">
        <v>999881965576411</v>
      </c>
      <c r="C601" s="40" t="s">
        <v>43</v>
      </c>
      <c r="D601" s="40" t="s">
        <v>10</v>
      </c>
      <c r="E601" s="40" t="s">
        <v>1768</v>
      </c>
      <c r="F601" s="40" t="s">
        <v>1151</v>
      </c>
      <c r="G601" s="40" t="s">
        <v>1141</v>
      </c>
      <c r="H601" s="40" t="s">
        <v>1769</v>
      </c>
      <c r="I601" s="37" t="s">
        <v>32</v>
      </c>
      <c r="J601" t="str">
        <f>VLOOKUP(F601,'[1]BASE DE DADOS'!$A:$C,3,0)</f>
        <v>Hiago Vinicius Alves Dos Santos Silva</v>
      </c>
    </row>
    <row r="602" spans="1:10" x14ac:dyDescent="0.25">
      <c r="A602" s="40" t="s">
        <v>1770</v>
      </c>
      <c r="B602" s="41">
        <v>999881984361187</v>
      </c>
      <c r="C602" s="40" t="s">
        <v>40</v>
      </c>
      <c r="D602" s="40" t="s">
        <v>10</v>
      </c>
      <c r="E602" s="40" t="s">
        <v>1771</v>
      </c>
      <c r="F602" s="40" t="s">
        <v>1772</v>
      </c>
      <c r="G602" s="40" t="s">
        <v>1141</v>
      </c>
      <c r="H602" s="40" t="s">
        <v>1773</v>
      </c>
      <c r="I602" s="37" t="s">
        <v>32</v>
      </c>
      <c r="J602" t="str">
        <f>VLOOKUP(F602,'[1]BASE DE DADOS'!$A:$C,3,0)</f>
        <v>Cleber Silvestre Almeida e Silva</v>
      </c>
    </row>
    <row r="603" spans="1:10" x14ac:dyDescent="0.25">
      <c r="A603" s="40" t="s">
        <v>1774</v>
      </c>
      <c r="B603" s="41">
        <v>999882024620529</v>
      </c>
      <c r="C603" s="40" t="s">
        <v>40</v>
      </c>
      <c r="D603" s="40" t="s">
        <v>10</v>
      </c>
      <c r="E603" s="40" t="s">
        <v>1775</v>
      </c>
      <c r="F603" s="40" t="s">
        <v>1562</v>
      </c>
      <c r="G603" s="40" t="s">
        <v>1141</v>
      </c>
      <c r="H603" s="40" t="s">
        <v>1776</v>
      </c>
      <c r="I603" s="37" t="s">
        <v>32</v>
      </c>
      <c r="J603" t="str">
        <f>VLOOKUP(F603,'[1]BASE DE DADOS'!$A:$C,3,0)</f>
        <v>Eduardo Carvalho Vieira dos Santos</v>
      </c>
    </row>
    <row r="604" spans="1:10" x14ac:dyDescent="0.25">
      <c r="A604" s="40" t="s">
        <v>1777</v>
      </c>
      <c r="B604" s="41">
        <v>999882018622146</v>
      </c>
      <c r="C604" s="40" t="s">
        <v>40</v>
      </c>
      <c r="D604" s="40" t="s">
        <v>10</v>
      </c>
      <c r="E604" s="40" t="s">
        <v>1778</v>
      </c>
      <c r="F604" s="40" t="s">
        <v>1779</v>
      </c>
      <c r="G604" s="40" t="s">
        <v>1141</v>
      </c>
      <c r="H604" s="40" t="s">
        <v>1780</v>
      </c>
      <c r="I604" s="37" t="s">
        <v>32</v>
      </c>
      <c r="J604" t="str">
        <f>VLOOKUP(F604,'[1]BASE DE DADOS'!$A:$C,3,0)</f>
        <v>Eduardo Carvalho Vieira dos Santos</v>
      </c>
    </row>
    <row r="605" spans="1:10" x14ac:dyDescent="0.25">
      <c r="A605" s="40" t="s">
        <v>1781</v>
      </c>
      <c r="B605" s="41">
        <v>999882001609618</v>
      </c>
      <c r="C605" s="40" t="s">
        <v>40</v>
      </c>
      <c r="D605" s="40" t="s">
        <v>10</v>
      </c>
      <c r="E605" s="40" t="s">
        <v>435</v>
      </c>
      <c r="F605" s="40" t="s">
        <v>1144</v>
      </c>
      <c r="G605" s="40" t="s">
        <v>1141</v>
      </c>
      <c r="H605" s="40">
        <v>0</v>
      </c>
      <c r="I605" s="37" t="s">
        <v>33</v>
      </c>
      <c r="J605" t="str">
        <f>VLOOKUP(F605,'[1]BASE DE DADOS'!$A:$C,3,0)</f>
        <v xml:space="preserve">Alex Junior Rodrigues dos santos </v>
      </c>
    </row>
    <row r="606" spans="1:10" x14ac:dyDescent="0.25">
      <c r="A606" s="40" t="s">
        <v>1782</v>
      </c>
      <c r="B606" s="41">
        <v>999882015552388</v>
      </c>
      <c r="C606" s="40" t="s">
        <v>40</v>
      </c>
      <c r="D606" s="40" t="s">
        <v>10</v>
      </c>
      <c r="E606" s="40" t="s">
        <v>1783</v>
      </c>
      <c r="F606" s="40" t="s">
        <v>1758</v>
      </c>
      <c r="G606" s="40" t="s">
        <v>1141</v>
      </c>
      <c r="H606" s="40" t="s">
        <v>1784</v>
      </c>
      <c r="I606" s="37" t="s">
        <v>32</v>
      </c>
      <c r="J606" t="str">
        <f>VLOOKUP(F606,'[1]BASE DE DADOS'!$A:$C,3,0)</f>
        <v xml:space="preserve">Alex Junior Rodrigues dos santos </v>
      </c>
    </row>
    <row r="607" spans="1:10" x14ac:dyDescent="0.25">
      <c r="A607" s="40" t="s">
        <v>1785</v>
      </c>
      <c r="B607" s="41">
        <v>999882020973866</v>
      </c>
      <c r="C607" s="40" t="s">
        <v>40</v>
      </c>
      <c r="D607" s="40" t="s">
        <v>10</v>
      </c>
      <c r="E607" s="40" t="s">
        <v>1786</v>
      </c>
      <c r="F607" s="40" t="s">
        <v>1247</v>
      </c>
      <c r="G607" s="40" t="s">
        <v>1141</v>
      </c>
      <c r="H607" s="40" t="s">
        <v>1787</v>
      </c>
      <c r="I607" s="37" t="s">
        <v>32</v>
      </c>
      <c r="J607" t="str">
        <f>VLOOKUP(F607,'[1]BASE DE DADOS'!$A:$C,3,0)</f>
        <v>Cleber Silvestre Almeida e Silva</v>
      </c>
    </row>
    <row r="608" spans="1:10" x14ac:dyDescent="0.25">
      <c r="A608" s="40" t="s">
        <v>1788</v>
      </c>
      <c r="B608" s="41">
        <v>999881985589204</v>
      </c>
      <c r="C608" s="40" t="s">
        <v>40</v>
      </c>
      <c r="D608" s="40" t="s">
        <v>10</v>
      </c>
      <c r="E608" s="40" t="s">
        <v>1789</v>
      </c>
      <c r="F608" s="40" t="s">
        <v>1790</v>
      </c>
      <c r="G608" s="40" t="s">
        <v>1141</v>
      </c>
      <c r="H608" s="40" t="s">
        <v>1791</v>
      </c>
      <c r="I608" s="37" t="s">
        <v>32</v>
      </c>
      <c r="J608" t="str">
        <f>VLOOKUP(F608,'[1]BASE DE DADOS'!$A:$C,3,0)</f>
        <v>Cleber Silvestre Almeida e Silva</v>
      </c>
    </row>
    <row r="609" spans="1:10" x14ac:dyDescent="0.25">
      <c r="A609" s="40" t="s">
        <v>1792</v>
      </c>
      <c r="B609" s="41">
        <v>999881969457865</v>
      </c>
      <c r="C609" s="40" t="s">
        <v>41</v>
      </c>
      <c r="D609" s="40" t="s">
        <v>10</v>
      </c>
      <c r="E609" s="40" t="s">
        <v>1793</v>
      </c>
      <c r="F609" s="40" t="s">
        <v>1794</v>
      </c>
      <c r="G609" s="40" t="s">
        <v>1141</v>
      </c>
      <c r="H609" s="40">
        <v>0</v>
      </c>
      <c r="I609" s="37" t="s">
        <v>33</v>
      </c>
      <c r="J609" t="str">
        <f>VLOOKUP(F609,'[1]BASE DE DADOS'!$A:$C,3,0)</f>
        <v>Cleber Silvestre Almeida e Silva</v>
      </c>
    </row>
    <row r="610" spans="1:10" x14ac:dyDescent="0.25">
      <c r="A610" s="40" t="s">
        <v>1795</v>
      </c>
      <c r="B610" s="41">
        <v>999881994000749</v>
      </c>
      <c r="C610" s="40" t="s">
        <v>40</v>
      </c>
      <c r="D610" s="40" t="s">
        <v>10</v>
      </c>
      <c r="E610" s="40" t="s">
        <v>1796</v>
      </c>
      <c r="F610" s="40" t="s">
        <v>1646</v>
      </c>
      <c r="G610" s="40" t="s">
        <v>1141</v>
      </c>
      <c r="H610" s="40" t="s">
        <v>1797</v>
      </c>
      <c r="I610" s="37" t="s">
        <v>32</v>
      </c>
      <c r="J610" t="str">
        <f>VLOOKUP(F610,'[1]BASE DE DADOS'!$A:$C,3,0)</f>
        <v>Eduardo Carvalho Vieira dos Santos</v>
      </c>
    </row>
    <row r="611" spans="1:10" x14ac:dyDescent="0.25">
      <c r="A611" s="40" t="s">
        <v>1798</v>
      </c>
      <c r="B611" s="41">
        <v>999882017186246</v>
      </c>
      <c r="C611" s="40" t="s">
        <v>40</v>
      </c>
      <c r="D611" s="40" t="s">
        <v>10</v>
      </c>
      <c r="E611" s="40" t="s">
        <v>390</v>
      </c>
      <c r="F611" s="40" t="s">
        <v>1200</v>
      </c>
      <c r="G611" s="40" t="s">
        <v>1141</v>
      </c>
      <c r="H611" s="40">
        <v>0</v>
      </c>
      <c r="I611" s="37" t="s">
        <v>33</v>
      </c>
      <c r="J611" t="str">
        <f>VLOOKUP(F611,'[1]BASE DE DADOS'!$A:$C,3,0)</f>
        <v>Cleber Silvestre Almeida e Silva</v>
      </c>
    </row>
    <row r="612" spans="1:10" x14ac:dyDescent="0.25">
      <c r="A612" s="40" t="s">
        <v>1799</v>
      </c>
      <c r="B612" s="41">
        <v>999881986635689</v>
      </c>
      <c r="C612" s="40" t="s">
        <v>40</v>
      </c>
      <c r="D612" s="40" t="s">
        <v>10</v>
      </c>
      <c r="E612" s="40" t="s">
        <v>1800</v>
      </c>
      <c r="F612" s="40" t="s">
        <v>1511</v>
      </c>
      <c r="G612" s="40" t="s">
        <v>1141</v>
      </c>
      <c r="H612" s="40" t="s">
        <v>1801</v>
      </c>
      <c r="I612" s="37" t="s">
        <v>32</v>
      </c>
      <c r="J612" t="str">
        <f>VLOOKUP(F612,'[1]BASE DE DADOS'!$A:$C,3,0)</f>
        <v>Cleber Silvestre Almeida e Silva</v>
      </c>
    </row>
    <row r="613" spans="1:10" x14ac:dyDescent="0.25">
      <c r="A613" s="40" t="s">
        <v>1802</v>
      </c>
      <c r="B613" s="41">
        <v>999882039125891</v>
      </c>
      <c r="C613" s="40" t="s">
        <v>40</v>
      </c>
      <c r="D613" s="40" t="s">
        <v>10</v>
      </c>
      <c r="E613" s="40" t="s">
        <v>1803</v>
      </c>
      <c r="F613" s="40" t="s">
        <v>1348</v>
      </c>
      <c r="G613" s="40" t="s">
        <v>1141</v>
      </c>
      <c r="H613" s="40" t="s">
        <v>1804</v>
      </c>
      <c r="I613" s="37" t="s">
        <v>32</v>
      </c>
      <c r="J613" t="str">
        <f>VLOOKUP(F613,'[1]BASE DE DADOS'!$A:$C,3,0)</f>
        <v>Eduardo Carvalho Vieira dos Santos</v>
      </c>
    </row>
    <row r="614" spans="1:10" x14ac:dyDescent="0.25">
      <c r="A614" s="40" t="s">
        <v>1805</v>
      </c>
      <c r="B614" s="41">
        <v>999881997008814</v>
      </c>
      <c r="C614" s="40" t="s">
        <v>40</v>
      </c>
      <c r="D614" s="40" t="s">
        <v>10</v>
      </c>
      <c r="E614" s="40" t="s">
        <v>1806</v>
      </c>
      <c r="F614" s="40" t="s">
        <v>1790</v>
      </c>
      <c r="G614" s="40" t="s">
        <v>1141</v>
      </c>
      <c r="H614" s="40" t="s">
        <v>1791</v>
      </c>
      <c r="I614" s="37" t="s">
        <v>32</v>
      </c>
      <c r="J614" t="str">
        <f>VLOOKUP(F614,'[1]BASE DE DADOS'!$A:$C,3,0)</f>
        <v>Cleber Silvestre Almeida e Silva</v>
      </c>
    </row>
    <row r="615" spans="1:10" x14ac:dyDescent="0.25">
      <c r="A615" s="40" t="s">
        <v>1807</v>
      </c>
      <c r="B615" s="41">
        <v>999881961418699</v>
      </c>
      <c r="C615" s="40" t="s">
        <v>40</v>
      </c>
      <c r="D615" s="40" t="s">
        <v>10</v>
      </c>
      <c r="E615" s="40" t="s">
        <v>1808</v>
      </c>
      <c r="F615" s="40" t="s">
        <v>1176</v>
      </c>
      <c r="G615" s="40" t="s">
        <v>1141</v>
      </c>
      <c r="H615" s="40" t="s">
        <v>1809</v>
      </c>
      <c r="I615" s="37" t="s">
        <v>32</v>
      </c>
      <c r="J615" t="str">
        <f>VLOOKUP(F615,'[1]BASE DE DADOS'!$A:$C,3,0)</f>
        <v>Cleber Silvestre Almeida e Silva</v>
      </c>
    </row>
    <row r="616" spans="1:10" x14ac:dyDescent="0.25">
      <c r="A616" s="40" t="s">
        <v>1810</v>
      </c>
      <c r="B616" s="41">
        <v>999882016457608</v>
      </c>
      <c r="C616" s="40" t="s">
        <v>40</v>
      </c>
      <c r="D616" s="40" t="s">
        <v>10</v>
      </c>
      <c r="E616" s="40" t="s">
        <v>1811</v>
      </c>
      <c r="F616" s="40" t="s">
        <v>1417</v>
      </c>
      <c r="G616" s="40" t="s">
        <v>1141</v>
      </c>
      <c r="H616" s="40" t="s">
        <v>1812</v>
      </c>
      <c r="I616" s="37" t="s">
        <v>32</v>
      </c>
      <c r="J616" t="str">
        <f>VLOOKUP(F616,'[1]BASE DE DADOS'!$A:$C,3,0)</f>
        <v>Cleber Silvestre Almeida e Silva</v>
      </c>
    </row>
    <row r="617" spans="1:10" x14ac:dyDescent="0.25">
      <c r="A617" s="40" t="s">
        <v>1813</v>
      </c>
      <c r="B617" s="41">
        <v>999882015788538</v>
      </c>
      <c r="C617" s="40" t="s">
        <v>40</v>
      </c>
      <c r="D617" s="40" t="s">
        <v>10</v>
      </c>
      <c r="E617" s="40" t="s">
        <v>1814</v>
      </c>
      <c r="F617" s="40" t="s">
        <v>1144</v>
      </c>
      <c r="G617" s="40" t="s">
        <v>1141</v>
      </c>
      <c r="H617" s="40">
        <v>0</v>
      </c>
      <c r="I617" s="37" t="s">
        <v>33</v>
      </c>
      <c r="J617" t="str">
        <f>VLOOKUP(F617,'[1]BASE DE DADOS'!$A:$C,3,0)</f>
        <v xml:space="preserve">Alex Junior Rodrigues dos santos </v>
      </c>
    </row>
    <row r="618" spans="1:10" x14ac:dyDescent="0.25">
      <c r="A618" s="40" t="s">
        <v>1815</v>
      </c>
      <c r="B618" s="41">
        <v>999881988056918</v>
      </c>
      <c r="C618" s="40" t="s">
        <v>40</v>
      </c>
      <c r="D618" s="40" t="s">
        <v>10</v>
      </c>
      <c r="E618" s="40" t="s">
        <v>1816</v>
      </c>
      <c r="F618" s="40" t="s">
        <v>1221</v>
      </c>
      <c r="G618" s="40" t="s">
        <v>1141</v>
      </c>
      <c r="H618" s="40" t="s">
        <v>1817</v>
      </c>
      <c r="I618" s="37" t="s">
        <v>32</v>
      </c>
      <c r="J618" t="str">
        <f>VLOOKUP(F618,'[1]BASE DE DADOS'!$A:$C,3,0)</f>
        <v>Cleber Silvestre Almeida e Silva</v>
      </c>
    </row>
    <row r="619" spans="1:10" x14ac:dyDescent="0.25">
      <c r="A619" s="40" t="s">
        <v>1818</v>
      </c>
      <c r="B619" s="41">
        <v>999882020418596</v>
      </c>
      <c r="C619" s="40" t="s">
        <v>40</v>
      </c>
      <c r="D619" s="40" t="s">
        <v>10</v>
      </c>
      <c r="E619" s="40" t="s">
        <v>1819</v>
      </c>
      <c r="F619" s="40" t="s">
        <v>1820</v>
      </c>
      <c r="G619" s="40" t="s">
        <v>1141</v>
      </c>
      <c r="H619" s="40" t="s">
        <v>1821</v>
      </c>
      <c r="I619" s="37" t="s">
        <v>32</v>
      </c>
      <c r="J619" t="str">
        <f>VLOOKUP(F619,'[1]BASE DE DADOS'!$A:$C,3,0)</f>
        <v>Eduardo Carvalho Vieira dos Santos</v>
      </c>
    </row>
    <row r="620" spans="1:10" x14ac:dyDescent="0.25">
      <c r="A620" s="40" t="s">
        <v>1822</v>
      </c>
      <c r="B620" s="41">
        <v>999882010884822</v>
      </c>
      <c r="C620" s="40" t="s">
        <v>40</v>
      </c>
      <c r="D620" s="40" t="s">
        <v>10</v>
      </c>
      <c r="E620" s="40" t="s">
        <v>1823</v>
      </c>
      <c r="F620" s="40" t="s">
        <v>1165</v>
      </c>
      <c r="G620" s="40" t="s">
        <v>1141</v>
      </c>
      <c r="H620" s="40" t="s">
        <v>1824</v>
      </c>
      <c r="I620" s="37" t="s">
        <v>32</v>
      </c>
      <c r="J620" t="str">
        <f>VLOOKUP(F620,'[1]BASE DE DADOS'!$A:$C,3,0)</f>
        <v>Eduardo Carvalho Vieira dos Santos</v>
      </c>
    </row>
    <row r="621" spans="1:10" x14ac:dyDescent="0.25">
      <c r="A621" s="40" t="s">
        <v>1825</v>
      </c>
      <c r="B621" s="41">
        <v>999882025738866</v>
      </c>
      <c r="C621" s="40" t="s">
        <v>40</v>
      </c>
      <c r="D621" s="40" t="s">
        <v>10</v>
      </c>
      <c r="E621" s="40" t="s">
        <v>1826</v>
      </c>
      <c r="F621" s="40" t="s">
        <v>1274</v>
      </c>
      <c r="G621" s="40" t="s">
        <v>1141</v>
      </c>
      <c r="H621" s="40" t="s">
        <v>1827</v>
      </c>
      <c r="I621" s="37" t="s">
        <v>32</v>
      </c>
      <c r="J621" t="str">
        <f>VLOOKUP(F621,'[1]BASE DE DADOS'!$A:$C,3,0)</f>
        <v>Hiago Vinicius Alves Dos Santos Silva</v>
      </c>
    </row>
    <row r="622" spans="1:10" x14ac:dyDescent="0.25">
      <c r="A622" s="40" t="s">
        <v>1828</v>
      </c>
      <c r="B622" s="41">
        <v>999881993344625</v>
      </c>
      <c r="C622" s="40" t="s">
        <v>40</v>
      </c>
      <c r="D622" s="40" t="s">
        <v>10</v>
      </c>
      <c r="E622" s="40" t="s">
        <v>1829</v>
      </c>
      <c r="F622" s="40" t="s">
        <v>1625</v>
      </c>
      <c r="G622" s="40" t="s">
        <v>1141</v>
      </c>
      <c r="H622" s="40" t="s">
        <v>1830</v>
      </c>
      <c r="I622" s="37" t="s">
        <v>32</v>
      </c>
      <c r="J622" t="str">
        <f>VLOOKUP(F622,'[1]BASE DE DADOS'!$A:$C,3,0)</f>
        <v>Eduardo Carvalho Vieira dos Santos</v>
      </c>
    </row>
    <row r="623" spans="1:10" x14ac:dyDescent="0.25">
      <c r="A623" s="40" t="s">
        <v>1831</v>
      </c>
      <c r="B623" s="41">
        <v>999882036318870</v>
      </c>
      <c r="C623" s="40" t="s">
        <v>40</v>
      </c>
      <c r="D623" s="40" t="s">
        <v>10</v>
      </c>
      <c r="E623" s="40" t="s">
        <v>1832</v>
      </c>
      <c r="F623" s="40" t="s">
        <v>1765</v>
      </c>
      <c r="G623" s="40" t="s">
        <v>1141</v>
      </c>
      <c r="H623" s="40" t="s">
        <v>1833</v>
      </c>
      <c r="I623" s="37" t="s">
        <v>32</v>
      </c>
      <c r="J623" t="str">
        <f>VLOOKUP(F623,'[1]BASE DE DADOS'!$A:$C,3,0)</f>
        <v xml:space="preserve">Alex Junior Rodrigues dos santos </v>
      </c>
    </row>
    <row r="624" spans="1:10" x14ac:dyDescent="0.25">
      <c r="A624" s="40" t="s">
        <v>1834</v>
      </c>
      <c r="B624" s="41">
        <v>999881955270767</v>
      </c>
      <c r="C624" s="40" t="s">
        <v>40</v>
      </c>
      <c r="D624" s="40" t="s">
        <v>10</v>
      </c>
      <c r="E624" s="40" t="s">
        <v>1835</v>
      </c>
      <c r="F624" s="40" t="s">
        <v>1529</v>
      </c>
      <c r="G624" s="40" t="s">
        <v>1141</v>
      </c>
      <c r="H624" s="40">
        <v>0</v>
      </c>
      <c r="I624" s="37" t="s">
        <v>33</v>
      </c>
      <c r="J624" t="str">
        <f>VLOOKUP(F624,'[1]BASE DE DADOS'!$A:$C,3,0)</f>
        <v>Cleber Silvestre Almeida e Silva</v>
      </c>
    </row>
    <row r="625" spans="1:10" x14ac:dyDescent="0.25">
      <c r="A625" s="40" t="s">
        <v>1836</v>
      </c>
      <c r="B625" s="41">
        <v>999882004193497</v>
      </c>
      <c r="C625" s="40" t="s">
        <v>40</v>
      </c>
      <c r="D625" s="40" t="s">
        <v>10</v>
      </c>
      <c r="E625" s="40" t="s">
        <v>1837</v>
      </c>
      <c r="F625" s="40" t="s">
        <v>1140</v>
      </c>
      <c r="G625" s="40" t="s">
        <v>1141</v>
      </c>
      <c r="H625" s="40" t="s">
        <v>1838</v>
      </c>
      <c r="I625" s="37" t="s">
        <v>32</v>
      </c>
      <c r="J625" t="str">
        <f>VLOOKUP(F625,'[1]BASE DE DADOS'!$A:$C,3,0)</f>
        <v xml:space="preserve">Alex Junior Rodrigues dos santos </v>
      </c>
    </row>
    <row r="626" spans="1:10" x14ac:dyDescent="0.25">
      <c r="A626" s="40" t="s">
        <v>1839</v>
      </c>
      <c r="B626" s="41">
        <v>999882005989961</v>
      </c>
      <c r="C626" s="40" t="s">
        <v>40</v>
      </c>
      <c r="D626" s="40" t="s">
        <v>10</v>
      </c>
      <c r="E626" s="40" t="s">
        <v>1840</v>
      </c>
      <c r="F626" s="40" t="s">
        <v>1140</v>
      </c>
      <c r="G626" s="40" t="s">
        <v>1141</v>
      </c>
      <c r="H626" s="40" t="s">
        <v>1838</v>
      </c>
      <c r="I626" s="37" t="s">
        <v>32</v>
      </c>
      <c r="J626" t="str">
        <f>VLOOKUP(F626,'[1]BASE DE DADOS'!$A:$C,3,0)</f>
        <v xml:space="preserve">Alex Junior Rodrigues dos santos </v>
      </c>
    </row>
    <row r="627" spans="1:10" x14ac:dyDescent="0.25">
      <c r="A627" s="40" t="s">
        <v>1841</v>
      </c>
      <c r="B627" s="41">
        <v>999882008135275</v>
      </c>
      <c r="C627" s="40" t="s">
        <v>40</v>
      </c>
      <c r="D627" s="40" t="s">
        <v>10</v>
      </c>
      <c r="E627" s="40" t="s">
        <v>1842</v>
      </c>
      <c r="F627" s="40" t="s">
        <v>1843</v>
      </c>
      <c r="G627" s="40" t="s">
        <v>1141</v>
      </c>
      <c r="H627" s="40" t="s">
        <v>1844</v>
      </c>
      <c r="I627" s="37" t="s">
        <v>32</v>
      </c>
      <c r="J627" t="e">
        <f>VLOOKUP(F627,'[1]BASE DE DADOS'!$A:$C,3,0)</f>
        <v>#N/A</v>
      </c>
    </row>
    <row r="628" spans="1:10" x14ac:dyDescent="0.25">
      <c r="A628" s="40" t="s">
        <v>1845</v>
      </c>
      <c r="B628" s="41">
        <v>999881997124522</v>
      </c>
      <c r="C628" s="40" t="s">
        <v>40</v>
      </c>
      <c r="D628" s="40" t="s">
        <v>10</v>
      </c>
      <c r="E628" s="40" t="s">
        <v>1846</v>
      </c>
      <c r="F628" s="40" t="s">
        <v>1847</v>
      </c>
      <c r="G628" s="40" t="s">
        <v>1141</v>
      </c>
      <c r="H628" s="40" t="s">
        <v>1848</v>
      </c>
      <c r="I628" s="37" t="s">
        <v>32</v>
      </c>
      <c r="J628" t="str">
        <f>VLOOKUP(F628,'[1]BASE DE DADOS'!$A:$C,3,0)</f>
        <v xml:space="preserve">Alex Junior Rodrigues dos santos </v>
      </c>
    </row>
    <row r="629" spans="1:10" x14ac:dyDescent="0.25">
      <c r="A629" s="40" t="s">
        <v>1849</v>
      </c>
      <c r="B629" s="41">
        <v>999881944333397</v>
      </c>
      <c r="C629" s="40" t="s">
        <v>40</v>
      </c>
      <c r="D629" s="40" t="s">
        <v>10</v>
      </c>
      <c r="E629" s="40" t="s">
        <v>1850</v>
      </c>
      <c r="F629" s="40" t="s">
        <v>1352</v>
      </c>
      <c r="G629" s="40" t="s">
        <v>1141</v>
      </c>
      <c r="H629" s="40" t="s">
        <v>1851</v>
      </c>
      <c r="I629" s="37" t="s">
        <v>32</v>
      </c>
      <c r="J629" t="str">
        <f>VLOOKUP(F629,'[1]BASE DE DADOS'!$A:$C,3,0)</f>
        <v>Hiago Vinicius Alves Dos Santos Silva</v>
      </c>
    </row>
    <row r="630" spans="1:10" x14ac:dyDescent="0.25">
      <c r="A630" s="40" t="s">
        <v>1852</v>
      </c>
      <c r="B630" s="41">
        <v>999882031252229</v>
      </c>
      <c r="C630" s="40" t="s">
        <v>40</v>
      </c>
      <c r="D630" s="40" t="s">
        <v>10</v>
      </c>
      <c r="E630" s="40" t="s">
        <v>1853</v>
      </c>
      <c r="F630" s="40" t="s">
        <v>1232</v>
      </c>
      <c r="G630" s="40" t="s">
        <v>1141</v>
      </c>
      <c r="H630" s="40">
        <v>0</v>
      </c>
      <c r="I630" s="37" t="s">
        <v>33</v>
      </c>
      <c r="J630" t="str">
        <f>VLOOKUP(F630,'[1]BASE DE DADOS'!$A:$C,3,0)</f>
        <v>Eduardo Carvalho Vieira dos Santos</v>
      </c>
    </row>
    <row r="631" spans="1:10" x14ac:dyDescent="0.25">
      <c r="A631" s="40" t="s">
        <v>1854</v>
      </c>
      <c r="B631" s="41">
        <v>999881997748511</v>
      </c>
      <c r="C631" s="40" t="s">
        <v>40</v>
      </c>
      <c r="D631" s="40" t="s">
        <v>10</v>
      </c>
      <c r="E631" s="40" t="s">
        <v>1855</v>
      </c>
      <c r="F631" s="40" t="s">
        <v>1165</v>
      </c>
      <c r="G631" s="40" t="s">
        <v>1141</v>
      </c>
      <c r="H631" s="40">
        <v>0</v>
      </c>
      <c r="I631" s="37" t="s">
        <v>33</v>
      </c>
      <c r="J631" t="str">
        <f>VLOOKUP(F631,'[1]BASE DE DADOS'!$A:$C,3,0)</f>
        <v>Eduardo Carvalho Vieira dos Santos</v>
      </c>
    </row>
    <row r="632" spans="1:10" x14ac:dyDescent="0.25">
      <c r="A632" s="40" t="s">
        <v>1856</v>
      </c>
      <c r="B632" s="41">
        <v>999882026448815</v>
      </c>
      <c r="C632" s="40" t="s">
        <v>41</v>
      </c>
      <c r="D632" s="40" t="s">
        <v>10</v>
      </c>
      <c r="E632" s="40" t="s">
        <v>1857</v>
      </c>
      <c r="F632" s="40" t="s">
        <v>1151</v>
      </c>
      <c r="G632" s="40" t="s">
        <v>1141</v>
      </c>
      <c r="H632" s="40">
        <v>0</v>
      </c>
      <c r="I632" s="37" t="s">
        <v>33</v>
      </c>
      <c r="J632" t="str">
        <f>VLOOKUP(F632,'[1]BASE DE DADOS'!$A:$C,3,0)</f>
        <v>Hiago Vinicius Alves Dos Santos Silva</v>
      </c>
    </row>
    <row r="633" spans="1:10" x14ac:dyDescent="0.25">
      <c r="A633" s="40" t="s">
        <v>1858</v>
      </c>
      <c r="B633" s="41">
        <v>999882024133258</v>
      </c>
      <c r="C633" s="40" t="s">
        <v>40</v>
      </c>
      <c r="D633" s="40" t="s">
        <v>10</v>
      </c>
      <c r="E633" s="40" t="s">
        <v>1859</v>
      </c>
      <c r="F633" s="40" t="s">
        <v>1860</v>
      </c>
      <c r="G633" s="40" t="s">
        <v>1141</v>
      </c>
      <c r="H633" s="40" t="s">
        <v>1861</v>
      </c>
      <c r="I633" s="37" t="s">
        <v>32</v>
      </c>
      <c r="J633" t="str">
        <f>VLOOKUP(F633,'[1]BASE DE DADOS'!$A:$C,3,0)</f>
        <v>Cleber Silvestre Almeida e Silva</v>
      </c>
    </row>
    <row r="634" spans="1:10" x14ac:dyDescent="0.25">
      <c r="A634" s="40" t="s">
        <v>1862</v>
      </c>
      <c r="B634" s="41">
        <v>999882037217528</v>
      </c>
      <c r="C634" s="40" t="s">
        <v>40</v>
      </c>
      <c r="D634" s="40" t="s">
        <v>10</v>
      </c>
      <c r="E634" s="40" t="s">
        <v>1863</v>
      </c>
      <c r="F634" s="40" t="s">
        <v>1616</v>
      </c>
      <c r="G634" s="40" t="s">
        <v>1141</v>
      </c>
      <c r="H634" s="40" t="s">
        <v>1864</v>
      </c>
      <c r="I634" s="37" t="s">
        <v>32</v>
      </c>
      <c r="J634" t="str">
        <f>VLOOKUP(F634,'[1]BASE DE DADOS'!$A:$C,3,0)</f>
        <v>Cleber Silvestre Almeida e Silva</v>
      </c>
    </row>
    <row r="635" spans="1:10" x14ac:dyDescent="0.25">
      <c r="A635" s="40" t="s">
        <v>1865</v>
      </c>
      <c r="B635" s="41">
        <v>999882039537010</v>
      </c>
      <c r="C635" s="40" t="s">
        <v>40</v>
      </c>
      <c r="D635" s="40" t="s">
        <v>10</v>
      </c>
      <c r="E635" s="40" t="s">
        <v>1866</v>
      </c>
      <c r="F635" s="40" t="s">
        <v>1384</v>
      </c>
      <c r="G635" s="40" t="s">
        <v>1141</v>
      </c>
      <c r="H635" s="40" t="s">
        <v>1867</v>
      </c>
      <c r="I635" s="37" t="s">
        <v>32</v>
      </c>
      <c r="J635" t="str">
        <f>VLOOKUP(F635,'[1]BASE DE DADOS'!$A:$C,3,0)</f>
        <v xml:space="preserve">Alex Junior Rodrigues dos santos </v>
      </c>
    </row>
    <row r="636" spans="1:10" x14ac:dyDescent="0.25">
      <c r="A636" s="40" t="s">
        <v>1868</v>
      </c>
      <c r="B636" s="41">
        <v>999882012658877</v>
      </c>
      <c r="C636" s="40" t="s">
        <v>40</v>
      </c>
      <c r="D636" s="40" t="s">
        <v>10</v>
      </c>
      <c r="E636" s="40" t="s">
        <v>1869</v>
      </c>
      <c r="F636" s="40" t="s">
        <v>1270</v>
      </c>
      <c r="G636" s="40" t="s">
        <v>1141</v>
      </c>
      <c r="H636" s="40" t="s">
        <v>1870</v>
      </c>
      <c r="I636" s="37" t="s">
        <v>32</v>
      </c>
      <c r="J636" t="str">
        <f>VLOOKUP(F636,'[1]BASE DE DADOS'!$A:$C,3,0)</f>
        <v xml:space="preserve">Alex Junior Rodrigues dos santos </v>
      </c>
    </row>
    <row r="637" spans="1:10" x14ac:dyDescent="0.25">
      <c r="A637" s="40" t="s">
        <v>1871</v>
      </c>
      <c r="B637" s="41">
        <v>999882022520990</v>
      </c>
      <c r="C637" s="40" t="s">
        <v>40</v>
      </c>
      <c r="D637" s="40" t="s">
        <v>10</v>
      </c>
      <c r="E637" s="40" t="s">
        <v>1872</v>
      </c>
      <c r="F637" s="40" t="s">
        <v>1332</v>
      </c>
      <c r="G637" s="40" t="s">
        <v>1141</v>
      </c>
      <c r="H637" s="40" t="s">
        <v>1873</v>
      </c>
      <c r="I637" s="37" t="s">
        <v>32</v>
      </c>
      <c r="J637" t="str">
        <f>VLOOKUP(F637,'[1]BASE DE DADOS'!$A:$C,3,0)</f>
        <v xml:space="preserve">Alex Junior Rodrigues dos santos </v>
      </c>
    </row>
    <row r="638" spans="1:10" x14ac:dyDescent="0.25">
      <c r="A638" s="40" t="s">
        <v>1874</v>
      </c>
      <c r="B638" s="41">
        <v>999881914599361</v>
      </c>
      <c r="C638" s="40" t="s">
        <v>40</v>
      </c>
      <c r="D638" s="40" t="s">
        <v>10</v>
      </c>
      <c r="E638" s="40" t="s">
        <v>1875</v>
      </c>
      <c r="F638" s="40" t="s">
        <v>1876</v>
      </c>
      <c r="G638" s="40" t="s">
        <v>1141</v>
      </c>
      <c r="H638" s="40">
        <v>0</v>
      </c>
      <c r="I638" s="37" t="s">
        <v>33</v>
      </c>
      <c r="J638" t="str">
        <f>VLOOKUP(F638,'[1]BASE DE DADOS'!$A:$C,3,0)</f>
        <v xml:space="preserve">Alex Junior Rodrigues dos santos </v>
      </c>
    </row>
    <row r="639" spans="1:10" x14ac:dyDescent="0.25">
      <c r="A639" s="40" t="s">
        <v>1877</v>
      </c>
      <c r="B639" s="41">
        <v>999882007198617</v>
      </c>
      <c r="C639" s="40" t="s">
        <v>40</v>
      </c>
      <c r="D639" s="40" t="s">
        <v>10</v>
      </c>
      <c r="E639" s="40" t="s">
        <v>1878</v>
      </c>
      <c r="F639" s="40" t="s">
        <v>1151</v>
      </c>
      <c r="G639" s="40" t="s">
        <v>1141</v>
      </c>
      <c r="H639" s="40">
        <v>0</v>
      </c>
      <c r="I639" s="37" t="s">
        <v>33</v>
      </c>
      <c r="J639" t="str">
        <f>VLOOKUP(F639,'[1]BASE DE DADOS'!$A:$C,3,0)</f>
        <v>Hiago Vinicius Alves Dos Santos Silva</v>
      </c>
    </row>
    <row r="640" spans="1:10" x14ac:dyDescent="0.25">
      <c r="A640" s="40" t="s">
        <v>1879</v>
      </c>
      <c r="B640" s="41">
        <v>999882002983176</v>
      </c>
      <c r="C640" s="40" t="s">
        <v>40</v>
      </c>
      <c r="D640" s="40" t="s">
        <v>10</v>
      </c>
      <c r="E640" s="40" t="s">
        <v>1880</v>
      </c>
      <c r="F640" s="40" t="s">
        <v>1779</v>
      </c>
      <c r="G640" s="40" t="s">
        <v>1141</v>
      </c>
      <c r="H640" s="40" t="s">
        <v>1881</v>
      </c>
      <c r="I640" s="37" t="s">
        <v>32</v>
      </c>
      <c r="J640" t="str">
        <f>VLOOKUP(F640,'[1]BASE DE DADOS'!$A:$C,3,0)</f>
        <v>Eduardo Carvalho Vieira dos Santos</v>
      </c>
    </row>
    <row r="641" spans="1:10" x14ac:dyDescent="0.25">
      <c r="A641" s="40" t="s">
        <v>1882</v>
      </c>
      <c r="B641" s="41">
        <v>999882026287536</v>
      </c>
      <c r="C641" s="40" t="s">
        <v>40</v>
      </c>
      <c r="D641" s="40" t="s">
        <v>10</v>
      </c>
      <c r="E641" s="40" t="s">
        <v>1883</v>
      </c>
      <c r="F641" s="40" t="s">
        <v>1884</v>
      </c>
      <c r="G641" s="40" t="s">
        <v>1141</v>
      </c>
      <c r="H641" s="40" t="s">
        <v>1885</v>
      </c>
      <c r="I641" s="37" t="s">
        <v>32</v>
      </c>
      <c r="J641" t="str">
        <f>VLOOKUP(F641,'[1]BASE DE DADOS'!$A:$C,3,0)</f>
        <v xml:space="preserve">Alex Junior Rodrigues dos santos </v>
      </c>
    </row>
    <row r="642" spans="1:10" x14ac:dyDescent="0.25">
      <c r="A642" s="40" t="s">
        <v>1886</v>
      </c>
      <c r="B642" s="41">
        <v>999882003443812</v>
      </c>
      <c r="C642" s="40" t="s">
        <v>40</v>
      </c>
      <c r="D642" s="40" t="s">
        <v>10</v>
      </c>
      <c r="E642" s="40" t="s">
        <v>1883</v>
      </c>
      <c r="F642" s="40" t="s">
        <v>1151</v>
      </c>
      <c r="G642" s="40" t="s">
        <v>1141</v>
      </c>
      <c r="H642" s="40" t="s">
        <v>1887</v>
      </c>
      <c r="I642" s="37" t="s">
        <v>32</v>
      </c>
      <c r="J642" t="str">
        <f>VLOOKUP(F642,'[1]BASE DE DADOS'!$A:$C,3,0)</f>
        <v>Hiago Vinicius Alves Dos Santos Silva</v>
      </c>
    </row>
    <row r="643" spans="1:10" x14ac:dyDescent="0.25">
      <c r="A643" s="40" t="s">
        <v>1888</v>
      </c>
      <c r="B643" s="41">
        <v>999882034018138</v>
      </c>
      <c r="C643" s="40" t="s">
        <v>40</v>
      </c>
      <c r="D643" s="40" t="s">
        <v>10</v>
      </c>
      <c r="E643" s="40" t="s">
        <v>1889</v>
      </c>
      <c r="F643" s="40" t="s">
        <v>1243</v>
      </c>
      <c r="G643" s="40" t="s">
        <v>1141</v>
      </c>
      <c r="H643" s="40">
        <v>0</v>
      </c>
      <c r="I643" s="37" t="s">
        <v>33</v>
      </c>
      <c r="J643" t="str">
        <f>VLOOKUP(F643,'[1]BASE DE DADOS'!$A:$C,3,0)</f>
        <v>Eduardo Carvalho Vieira dos Santos</v>
      </c>
    </row>
    <row r="644" spans="1:10" x14ac:dyDescent="0.25">
      <c r="A644" s="40" t="s">
        <v>1890</v>
      </c>
      <c r="B644" s="41">
        <v>999882032596685</v>
      </c>
      <c r="C644" s="40" t="s">
        <v>40</v>
      </c>
      <c r="D644" s="40" t="s">
        <v>10</v>
      </c>
      <c r="E644" s="40" t="s">
        <v>1891</v>
      </c>
      <c r="F644" s="40" t="s">
        <v>1144</v>
      </c>
      <c r="G644" s="40" t="s">
        <v>1141</v>
      </c>
      <c r="H644" s="40" t="s">
        <v>1892</v>
      </c>
      <c r="I644" s="37" t="s">
        <v>32</v>
      </c>
      <c r="J644" t="str">
        <f>VLOOKUP(F644,'[1]BASE DE DADOS'!$A:$C,3,0)</f>
        <v xml:space="preserve">Alex Junior Rodrigues dos santos </v>
      </c>
    </row>
    <row r="645" spans="1:10" x14ac:dyDescent="0.25">
      <c r="A645" s="40" t="s">
        <v>1893</v>
      </c>
      <c r="B645" s="41">
        <v>999881998482584</v>
      </c>
      <c r="C645" s="40" t="s">
        <v>40</v>
      </c>
      <c r="D645" s="40" t="s">
        <v>10</v>
      </c>
      <c r="E645" s="40" t="s">
        <v>1894</v>
      </c>
      <c r="F645" s="40" t="s">
        <v>1270</v>
      </c>
      <c r="G645" s="40" t="s">
        <v>1141</v>
      </c>
      <c r="H645" s="40">
        <v>0</v>
      </c>
      <c r="I645" s="37" t="s">
        <v>33</v>
      </c>
      <c r="J645" t="str">
        <f>VLOOKUP(F645,'[1]BASE DE DADOS'!$A:$C,3,0)</f>
        <v xml:space="preserve">Alex Junior Rodrigues dos santos </v>
      </c>
    </row>
    <row r="646" spans="1:10" x14ac:dyDescent="0.25">
      <c r="A646" s="40" t="s">
        <v>1895</v>
      </c>
      <c r="B646" s="41">
        <v>999881998012427</v>
      </c>
      <c r="C646" s="40" t="s">
        <v>40</v>
      </c>
      <c r="D646" s="40" t="s">
        <v>10</v>
      </c>
      <c r="E646" s="40" t="s">
        <v>1896</v>
      </c>
      <c r="F646" s="40" t="s">
        <v>1243</v>
      </c>
      <c r="G646" s="40" t="s">
        <v>1141</v>
      </c>
      <c r="H646" s="40">
        <v>0</v>
      </c>
      <c r="I646" s="37" t="s">
        <v>33</v>
      </c>
      <c r="J646" t="str">
        <f>VLOOKUP(F646,'[1]BASE DE DADOS'!$A:$C,3,0)</f>
        <v>Eduardo Carvalho Vieira dos Santos</v>
      </c>
    </row>
    <row r="647" spans="1:10" x14ac:dyDescent="0.25">
      <c r="A647" s="40" t="s">
        <v>1897</v>
      </c>
      <c r="B647" s="41">
        <v>999882029626098</v>
      </c>
      <c r="C647" s="40" t="s">
        <v>40</v>
      </c>
      <c r="D647" s="40" t="s">
        <v>10</v>
      </c>
      <c r="E647" s="40" t="s">
        <v>1898</v>
      </c>
      <c r="F647" s="40" t="s">
        <v>1369</v>
      </c>
      <c r="G647" s="40" t="s">
        <v>1141</v>
      </c>
      <c r="H647" s="40" t="s">
        <v>1899</v>
      </c>
      <c r="I647" s="37" t="s">
        <v>32</v>
      </c>
      <c r="J647" t="str">
        <f>VLOOKUP(F647,'[1]BASE DE DADOS'!$A:$C,3,0)</f>
        <v>Eduardo Carvalho Vieira dos Santos</v>
      </c>
    </row>
    <row r="648" spans="1:10" x14ac:dyDescent="0.25">
      <c r="A648" s="40" t="s">
        <v>1900</v>
      </c>
      <c r="B648" s="41">
        <v>999882016362846</v>
      </c>
      <c r="C648" s="40" t="s">
        <v>40</v>
      </c>
      <c r="D648" s="40" t="s">
        <v>10</v>
      </c>
      <c r="E648" s="40" t="s">
        <v>1901</v>
      </c>
      <c r="F648" s="40" t="s">
        <v>1144</v>
      </c>
      <c r="G648" s="40" t="s">
        <v>1141</v>
      </c>
      <c r="H648" s="40">
        <v>0</v>
      </c>
      <c r="I648" s="37" t="s">
        <v>33</v>
      </c>
      <c r="J648" t="str">
        <f>VLOOKUP(F648,'[1]BASE DE DADOS'!$A:$C,3,0)</f>
        <v xml:space="preserve">Alex Junior Rodrigues dos santos </v>
      </c>
    </row>
    <row r="649" spans="1:10" x14ac:dyDescent="0.25">
      <c r="A649" s="40" t="s">
        <v>1902</v>
      </c>
      <c r="B649" s="41">
        <v>999881970816975</v>
      </c>
      <c r="C649" s="40" t="s">
        <v>40</v>
      </c>
      <c r="D649" s="40" t="s">
        <v>10</v>
      </c>
      <c r="E649" s="40" t="s">
        <v>1903</v>
      </c>
      <c r="F649" s="40" t="s">
        <v>1483</v>
      </c>
      <c r="G649" s="40" t="s">
        <v>1141</v>
      </c>
      <c r="H649" s="40">
        <v>0</v>
      </c>
      <c r="I649" s="37" t="s">
        <v>33</v>
      </c>
      <c r="J649" t="str">
        <f>VLOOKUP(F649,'[1]BASE DE DADOS'!$A:$C,3,0)</f>
        <v>Eduardo Carvalho Vieira dos Santos</v>
      </c>
    </row>
    <row r="650" spans="1:10" x14ac:dyDescent="0.25">
      <c r="A650" s="40" t="s">
        <v>1904</v>
      </c>
      <c r="B650" s="41">
        <v>999881979752900</v>
      </c>
      <c r="C650" s="40" t="s">
        <v>40</v>
      </c>
      <c r="D650" s="40" t="s">
        <v>10</v>
      </c>
      <c r="E650" s="40" t="s">
        <v>1905</v>
      </c>
      <c r="F650" s="40" t="s">
        <v>1906</v>
      </c>
      <c r="G650" s="40" t="s">
        <v>1141</v>
      </c>
      <c r="H650" s="40" t="s">
        <v>1907</v>
      </c>
      <c r="I650" s="37" t="s">
        <v>32</v>
      </c>
      <c r="J650" t="str">
        <f>VLOOKUP(F650,'[1]BASE DE DADOS'!$A:$C,3,0)</f>
        <v>Cleber Silvestre Almeida e Silva</v>
      </c>
    </row>
    <row r="651" spans="1:10" x14ac:dyDescent="0.25">
      <c r="A651" s="40" t="s">
        <v>1908</v>
      </c>
      <c r="B651" s="41">
        <v>999882043942724</v>
      </c>
      <c r="C651" s="40" t="s">
        <v>40</v>
      </c>
      <c r="D651" s="40" t="s">
        <v>10</v>
      </c>
      <c r="E651" s="40" t="s">
        <v>1909</v>
      </c>
      <c r="F651" s="40" t="s">
        <v>1910</v>
      </c>
      <c r="G651" s="40" t="s">
        <v>1141</v>
      </c>
      <c r="H651" s="40" t="s">
        <v>1911</v>
      </c>
      <c r="I651" s="37" t="s">
        <v>32</v>
      </c>
      <c r="J651" t="str">
        <f>VLOOKUP(F651,'[1]BASE DE DADOS'!$A:$C,3,0)</f>
        <v>Cleber Silvestre Almeida e Silva</v>
      </c>
    </row>
    <row r="652" spans="1:10" x14ac:dyDescent="0.25">
      <c r="A652" s="40" t="s">
        <v>1912</v>
      </c>
      <c r="B652" s="41">
        <v>999882022042861</v>
      </c>
      <c r="C652" s="40" t="s">
        <v>40</v>
      </c>
      <c r="D652" s="40" t="s">
        <v>10</v>
      </c>
      <c r="E652" s="40" t="s">
        <v>1913</v>
      </c>
      <c r="F652" s="40" t="s">
        <v>1511</v>
      </c>
      <c r="G652" s="40" t="s">
        <v>1141</v>
      </c>
      <c r="H652" s="40" t="s">
        <v>1914</v>
      </c>
      <c r="I652" s="37" t="s">
        <v>32</v>
      </c>
      <c r="J652" t="str">
        <f>VLOOKUP(F652,'[1]BASE DE DADOS'!$A:$C,3,0)</f>
        <v>Cleber Silvestre Almeida e Silva</v>
      </c>
    </row>
    <row r="653" spans="1:10" x14ac:dyDescent="0.25">
      <c r="A653" s="40" t="s">
        <v>1915</v>
      </c>
      <c r="B653" s="41">
        <v>999881995720645</v>
      </c>
      <c r="C653" s="40" t="s">
        <v>40</v>
      </c>
      <c r="D653" s="40" t="s">
        <v>10</v>
      </c>
      <c r="E653" s="40" t="s">
        <v>1916</v>
      </c>
      <c r="F653" s="40" t="s">
        <v>1165</v>
      </c>
      <c r="G653" s="40" t="s">
        <v>1141</v>
      </c>
      <c r="H653" s="40" t="s">
        <v>1917</v>
      </c>
      <c r="I653" s="37" t="s">
        <v>32</v>
      </c>
      <c r="J653" t="str">
        <f>VLOOKUP(F653,'[1]BASE DE DADOS'!$A:$C,3,0)</f>
        <v>Eduardo Carvalho Vieira dos Santos</v>
      </c>
    </row>
    <row r="654" spans="1:10" x14ac:dyDescent="0.25">
      <c r="A654" s="40" t="s">
        <v>1918</v>
      </c>
      <c r="B654" s="41">
        <v>999881958825420</v>
      </c>
      <c r="C654" s="40" t="s">
        <v>41</v>
      </c>
      <c r="D654" s="40" t="s">
        <v>10</v>
      </c>
      <c r="E654" s="40" t="s">
        <v>1919</v>
      </c>
      <c r="F654" s="40" t="s">
        <v>1609</v>
      </c>
      <c r="G654" s="40" t="s">
        <v>1141</v>
      </c>
      <c r="H654" s="40" t="s">
        <v>1920</v>
      </c>
      <c r="I654" s="37" t="s">
        <v>32</v>
      </c>
      <c r="J654" t="str">
        <f>VLOOKUP(F654,'[1]BASE DE DADOS'!$A:$C,3,0)</f>
        <v>Eduardo Carvalho Vieira dos Santos</v>
      </c>
    </row>
    <row r="655" spans="1:10" x14ac:dyDescent="0.25">
      <c r="A655" s="40" t="s">
        <v>1921</v>
      </c>
      <c r="B655" s="41">
        <v>999882037126022</v>
      </c>
      <c r="C655" s="40" t="s">
        <v>40</v>
      </c>
      <c r="D655" s="40" t="s">
        <v>10</v>
      </c>
      <c r="E655" s="40" t="s">
        <v>1922</v>
      </c>
      <c r="F655" s="40" t="s">
        <v>1144</v>
      </c>
      <c r="G655" s="40" t="s">
        <v>1141</v>
      </c>
      <c r="H655" s="40">
        <v>0</v>
      </c>
      <c r="I655" s="37" t="s">
        <v>33</v>
      </c>
      <c r="J655" t="str">
        <f>VLOOKUP(F655,'[1]BASE DE DADOS'!$A:$C,3,0)</f>
        <v xml:space="preserve">Alex Junior Rodrigues dos santos </v>
      </c>
    </row>
    <row r="656" spans="1:10" x14ac:dyDescent="0.25">
      <c r="A656" s="40" t="s">
        <v>1923</v>
      </c>
      <c r="B656" s="41">
        <v>999881966579646</v>
      </c>
      <c r="C656" s="40" t="s">
        <v>40</v>
      </c>
      <c r="D656" s="40" t="s">
        <v>10</v>
      </c>
      <c r="E656" s="40" t="s">
        <v>1924</v>
      </c>
      <c r="F656" s="40" t="s">
        <v>1309</v>
      </c>
      <c r="G656" s="40" t="s">
        <v>1141</v>
      </c>
      <c r="H656" s="40" t="s">
        <v>1925</v>
      </c>
      <c r="I656" s="37" t="s">
        <v>32</v>
      </c>
      <c r="J656" t="str">
        <f>VLOOKUP(F656,'[1]BASE DE DADOS'!$A:$C,3,0)</f>
        <v xml:space="preserve">Alex Junior Rodrigues dos santos </v>
      </c>
    </row>
    <row r="657" spans="1:10" x14ac:dyDescent="0.25">
      <c r="A657" s="40" t="s">
        <v>1926</v>
      </c>
      <c r="B657" s="41">
        <v>999881989170682</v>
      </c>
      <c r="C657" s="40" t="s">
        <v>40</v>
      </c>
      <c r="D657" s="40" t="s">
        <v>10</v>
      </c>
      <c r="E657" s="40" t="s">
        <v>1927</v>
      </c>
      <c r="F657" s="40" t="s">
        <v>1523</v>
      </c>
      <c r="G657" s="40" t="s">
        <v>1141</v>
      </c>
      <c r="H657" s="40">
        <v>0</v>
      </c>
      <c r="I657" s="37" t="s">
        <v>33</v>
      </c>
      <c r="J657" t="str">
        <f>VLOOKUP(F657,'[1]BASE DE DADOS'!$A:$C,3,0)</f>
        <v>Hiago Vinicius Alves Dos Santos Silva</v>
      </c>
    </row>
    <row r="658" spans="1:10" x14ac:dyDescent="0.25">
      <c r="A658" s="40" t="s">
        <v>1928</v>
      </c>
      <c r="B658" s="41">
        <v>999882003752183</v>
      </c>
      <c r="C658" s="40" t="s">
        <v>40</v>
      </c>
      <c r="D658" s="40" t="s">
        <v>10</v>
      </c>
      <c r="E658" s="40" t="s">
        <v>1929</v>
      </c>
      <c r="F658" s="40" t="s">
        <v>1200</v>
      </c>
      <c r="G658" s="40" t="s">
        <v>1141</v>
      </c>
      <c r="H658" s="40">
        <v>0</v>
      </c>
      <c r="I658" s="37" t="s">
        <v>33</v>
      </c>
      <c r="J658" t="str">
        <f>VLOOKUP(F658,'[1]BASE DE DADOS'!$A:$C,3,0)</f>
        <v>Cleber Silvestre Almeida e Silva</v>
      </c>
    </row>
    <row r="659" spans="1:10" x14ac:dyDescent="0.25">
      <c r="A659" s="40" t="s">
        <v>1930</v>
      </c>
      <c r="B659" s="41">
        <v>999882037785678</v>
      </c>
      <c r="C659" s="40" t="s">
        <v>40</v>
      </c>
      <c r="D659" s="40" t="s">
        <v>10</v>
      </c>
      <c r="E659" s="40" t="s">
        <v>1931</v>
      </c>
      <c r="F659" s="40" t="s">
        <v>1932</v>
      </c>
      <c r="G659" s="40" t="s">
        <v>1141</v>
      </c>
      <c r="H659" s="40" t="s">
        <v>1933</v>
      </c>
      <c r="I659" s="37" t="s">
        <v>32</v>
      </c>
      <c r="J659" t="str">
        <f>VLOOKUP(F659,'[1]BASE DE DADOS'!$A:$C,3,0)</f>
        <v>Cleber Silvestre Almeida e Silva</v>
      </c>
    </row>
    <row r="660" spans="1:10" x14ac:dyDescent="0.25">
      <c r="A660" s="40" t="s">
        <v>1934</v>
      </c>
      <c r="B660" s="41">
        <v>999881994029335</v>
      </c>
      <c r="C660" s="40" t="s">
        <v>40</v>
      </c>
      <c r="D660" s="40" t="s">
        <v>10</v>
      </c>
      <c r="E660" s="40" t="s">
        <v>1935</v>
      </c>
      <c r="F660" s="40" t="s">
        <v>1144</v>
      </c>
      <c r="G660" s="40" t="s">
        <v>1141</v>
      </c>
      <c r="H660" s="40">
        <v>0</v>
      </c>
      <c r="I660" s="37" t="s">
        <v>33</v>
      </c>
      <c r="J660" t="str">
        <f>VLOOKUP(F660,'[1]BASE DE DADOS'!$A:$C,3,0)</f>
        <v xml:space="preserve">Alex Junior Rodrigues dos santos </v>
      </c>
    </row>
    <row r="661" spans="1:10" x14ac:dyDescent="0.25">
      <c r="A661" s="40" t="s">
        <v>1936</v>
      </c>
      <c r="B661" s="41">
        <v>999882009692875</v>
      </c>
      <c r="C661" s="40" t="s">
        <v>40</v>
      </c>
      <c r="D661" s="40" t="s">
        <v>10</v>
      </c>
      <c r="E661" s="40" t="s">
        <v>1937</v>
      </c>
      <c r="F661" s="40" t="s">
        <v>1232</v>
      </c>
      <c r="G661" s="40" t="s">
        <v>1141</v>
      </c>
      <c r="H661" s="40" t="s">
        <v>1938</v>
      </c>
      <c r="I661" s="37" t="s">
        <v>32</v>
      </c>
      <c r="J661" t="str">
        <f>VLOOKUP(F661,'[1]BASE DE DADOS'!$A:$C,3,0)</f>
        <v>Eduardo Carvalho Vieira dos Santos</v>
      </c>
    </row>
    <row r="662" spans="1:10" x14ac:dyDescent="0.25">
      <c r="A662" s="40" t="s">
        <v>1939</v>
      </c>
      <c r="B662" s="41">
        <v>999882029278591</v>
      </c>
      <c r="C662" s="40" t="s">
        <v>40</v>
      </c>
      <c r="D662" s="40" t="s">
        <v>10</v>
      </c>
      <c r="E662" s="40" t="s">
        <v>1940</v>
      </c>
      <c r="F662" s="40" t="s">
        <v>1270</v>
      </c>
      <c r="G662" s="40" t="s">
        <v>1141</v>
      </c>
      <c r="H662" s="40" t="s">
        <v>1941</v>
      </c>
      <c r="I662" s="37" t="s">
        <v>32</v>
      </c>
      <c r="J662" t="str">
        <f>VLOOKUP(F662,'[1]BASE DE DADOS'!$A:$C,3,0)</f>
        <v xml:space="preserve">Alex Junior Rodrigues dos santos </v>
      </c>
    </row>
    <row r="663" spans="1:10" x14ac:dyDescent="0.25">
      <c r="A663" s="40" t="s">
        <v>1942</v>
      </c>
      <c r="B663" s="41">
        <v>999881944374094</v>
      </c>
      <c r="C663" s="40" t="s">
        <v>40</v>
      </c>
      <c r="D663" s="40" t="s">
        <v>10</v>
      </c>
      <c r="E663" s="40" t="s">
        <v>1943</v>
      </c>
      <c r="F663" s="40" t="s">
        <v>1438</v>
      </c>
      <c r="G663" s="40" t="s">
        <v>1141</v>
      </c>
      <c r="H663" s="40" t="s">
        <v>1944</v>
      </c>
      <c r="I663" s="37" t="s">
        <v>32</v>
      </c>
      <c r="J663" t="str">
        <f>VLOOKUP(F663,'[1]BASE DE DADOS'!$A:$C,3,0)</f>
        <v xml:space="preserve">Alex Junior Rodrigues dos santos </v>
      </c>
    </row>
    <row r="664" spans="1:10" x14ac:dyDescent="0.25">
      <c r="A664" s="40" t="s">
        <v>1945</v>
      </c>
      <c r="B664" s="41">
        <v>999882027392175</v>
      </c>
      <c r="C664" s="40" t="s">
        <v>43</v>
      </c>
      <c r="D664" s="40" t="s">
        <v>10</v>
      </c>
      <c r="E664" s="40" t="s">
        <v>1946</v>
      </c>
      <c r="F664" s="40" t="s">
        <v>1779</v>
      </c>
      <c r="G664" s="40" t="s">
        <v>1141</v>
      </c>
      <c r="H664" s="40">
        <v>0</v>
      </c>
      <c r="I664" s="37" t="s">
        <v>33</v>
      </c>
      <c r="J664" t="str">
        <f>VLOOKUP(F664,'[1]BASE DE DADOS'!$A:$C,3,0)</f>
        <v>Eduardo Carvalho Vieira dos Santos</v>
      </c>
    </row>
    <row r="665" spans="1:10" x14ac:dyDescent="0.25">
      <c r="A665" s="40" t="s">
        <v>1947</v>
      </c>
      <c r="B665" s="41">
        <v>999881988157957</v>
      </c>
      <c r="C665" s="40" t="s">
        <v>40</v>
      </c>
      <c r="D665" s="40" t="s">
        <v>10</v>
      </c>
      <c r="E665" s="40" t="s">
        <v>1948</v>
      </c>
      <c r="F665" s="40" t="s">
        <v>1200</v>
      </c>
      <c r="G665" s="40" t="s">
        <v>1141</v>
      </c>
      <c r="H665" s="40">
        <v>0</v>
      </c>
      <c r="I665" s="37" t="s">
        <v>33</v>
      </c>
      <c r="J665" t="str">
        <f>VLOOKUP(F665,'[1]BASE DE DADOS'!$A:$C,3,0)</f>
        <v>Cleber Silvestre Almeida e Silva</v>
      </c>
    </row>
    <row r="666" spans="1:10" x14ac:dyDescent="0.25">
      <c r="A666" s="40" t="s">
        <v>1949</v>
      </c>
      <c r="B666" s="41">
        <v>999881968663382</v>
      </c>
      <c r="C666" s="40" t="s">
        <v>40</v>
      </c>
      <c r="D666" s="40" t="s">
        <v>10</v>
      </c>
      <c r="E666" s="40" t="s">
        <v>1514</v>
      </c>
      <c r="F666" s="40" t="s">
        <v>1323</v>
      </c>
      <c r="G666" s="40" t="s">
        <v>1141</v>
      </c>
      <c r="H666" s="40">
        <v>0</v>
      </c>
      <c r="I666" s="37" t="s">
        <v>33</v>
      </c>
      <c r="J666" t="str">
        <f>VLOOKUP(F666,'[1]BASE DE DADOS'!$A:$C,3,0)</f>
        <v>Cleber Silvestre Almeida e Silva</v>
      </c>
    </row>
    <row r="667" spans="1:10" x14ac:dyDescent="0.25">
      <c r="A667" s="40" t="s">
        <v>1950</v>
      </c>
      <c r="B667" s="41">
        <v>999882035349512</v>
      </c>
      <c r="C667" s="40" t="s">
        <v>40</v>
      </c>
      <c r="D667" s="40" t="s">
        <v>10</v>
      </c>
      <c r="E667" s="40" t="s">
        <v>1951</v>
      </c>
      <c r="F667" s="40" t="s">
        <v>1332</v>
      </c>
      <c r="G667" s="40" t="s">
        <v>1141</v>
      </c>
      <c r="H667" s="40" t="s">
        <v>1952</v>
      </c>
      <c r="I667" s="37" t="s">
        <v>32</v>
      </c>
      <c r="J667" t="str">
        <f>VLOOKUP(F667,'[1]BASE DE DADOS'!$A:$C,3,0)</f>
        <v xml:space="preserve">Alex Junior Rodrigues dos santos </v>
      </c>
    </row>
    <row r="668" spans="1:10" x14ac:dyDescent="0.25">
      <c r="A668" s="40" t="s">
        <v>1953</v>
      </c>
      <c r="B668" s="41">
        <v>999882005965806</v>
      </c>
      <c r="C668" s="40" t="s">
        <v>41</v>
      </c>
      <c r="D668" s="40" t="s">
        <v>10</v>
      </c>
      <c r="E668" s="40" t="s">
        <v>1954</v>
      </c>
      <c r="F668" s="40" t="s">
        <v>1955</v>
      </c>
      <c r="G668" s="40" t="s">
        <v>1141</v>
      </c>
      <c r="H668" s="40">
        <v>0</v>
      </c>
      <c r="I668" s="37" t="s">
        <v>33</v>
      </c>
      <c r="J668" t="str">
        <f>VLOOKUP(F668,'[1]BASE DE DADOS'!$A:$C,3,0)</f>
        <v xml:space="preserve">Alex Junior Rodrigues dos santos </v>
      </c>
    </row>
    <row r="669" spans="1:10" x14ac:dyDescent="0.25">
      <c r="A669" s="40" t="s">
        <v>1956</v>
      </c>
      <c r="B669" s="41">
        <v>999882015593826</v>
      </c>
      <c r="C669" s="40" t="s">
        <v>40</v>
      </c>
      <c r="D669" s="40" t="s">
        <v>10</v>
      </c>
      <c r="E669" s="40" t="s">
        <v>1957</v>
      </c>
      <c r="F669" s="40" t="s">
        <v>1144</v>
      </c>
      <c r="G669" s="40" t="s">
        <v>1141</v>
      </c>
      <c r="H669" s="40">
        <v>0</v>
      </c>
      <c r="I669" s="37" t="s">
        <v>33</v>
      </c>
      <c r="J669" t="str">
        <f>VLOOKUP(F669,'[1]BASE DE DADOS'!$A:$C,3,0)</f>
        <v xml:space="preserve">Alex Junior Rodrigues dos santos </v>
      </c>
    </row>
    <row r="670" spans="1:10" x14ac:dyDescent="0.25">
      <c r="A670" s="40" t="s">
        <v>1958</v>
      </c>
      <c r="B670" s="41">
        <v>999882023798576</v>
      </c>
      <c r="C670" s="40" t="s">
        <v>40</v>
      </c>
      <c r="D670" s="40" t="s">
        <v>10</v>
      </c>
      <c r="E670" s="40" t="s">
        <v>1959</v>
      </c>
      <c r="F670" s="40" t="s">
        <v>1144</v>
      </c>
      <c r="G670" s="40" t="s">
        <v>1141</v>
      </c>
      <c r="H670" s="40">
        <v>0</v>
      </c>
      <c r="I670" s="37" t="s">
        <v>33</v>
      </c>
      <c r="J670" t="str">
        <f>VLOOKUP(F670,'[1]BASE DE DADOS'!$A:$C,3,0)</f>
        <v xml:space="preserve">Alex Junior Rodrigues dos santos </v>
      </c>
    </row>
    <row r="671" spans="1:10" x14ac:dyDescent="0.25">
      <c r="A671" s="40" t="s">
        <v>1960</v>
      </c>
      <c r="B671" s="41">
        <v>999882022532224</v>
      </c>
      <c r="C671" s="40" t="s">
        <v>40</v>
      </c>
      <c r="D671" s="40" t="s">
        <v>10</v>
      </c>
      <c r="E671" s="40" t="s">
        <v>1961</v>
      </c>
      <c r="F671" s="40" t="s">
        <v>1184</v>
      </c>
      <c r="G671" s="40" t="s">
        <v>1141</v>
      </c>
      <c r="H671" s="40" t="s">
        <v>1962</v>
      </c>
      <c r="I671" s="37" t="s">
        <v>32</v>
      </c>
      <c r="J671" t="str">
        <f>VLOOKUP(F671,'[1]BASE DE DADOS'!$A:$C,3,0)</f>
        <v>Cleber Silvestre Almeida e Silva</v>
      </c>
    </row>
    <row r="672" spans="1:10" x14ac:dyDescent="0.25">
      <c r="A672" s="40" t="s">
        <v>1963</v>
      </c>
      <c r="B672" s="41">
        <v>999882020122825</v>
      </c>
      <c r="C672" s="40" t="s">
        <v>40</v>
      </c>
      <c r="D672" s="40" t="s">
        <v>10</v>
      </c>
      <c r="E672" s="40" t="s">
        <v>1964</v>
      </c>
      <c r="F672" s="40" t="s">
        <v>1511</v>
      </c>
      <c r="G672" s="40" t="s">
        <v>1141</v>
      </c>
      <c r="H672" s="40" t="s">
        <v>1965</v>
      </c>
      <c r="I672" s="37" t="s">
        <v>32</v>
      </c>
      <c r="J672" t="str">
        <f>VLOOKUP(F672,'[1]BASE DE DADOS'!$A:$C,3,0)</f>
        <v>Cleber Silvestre Almeida e Silva</v>
      </c>
    </row>
    <row r="673" spans="1:10" x14ac:dyDescent="0.25">
      <c r="A673" s="40" t="s">
        <v>1966</v>
      </c>
      <c r="B673" s="41">
        <v>999882021046822</v>
      </c>
      <c r="C673" s="40" t="s">
        <v>40</v>
      </c>
      <c r="D673" s="40" t="s">
        <v>10</v>
      </c>
      <c r="E673" s="40" t="s">
        <v>1967</v>
      </c>
      <c r="F673" s="40" t="s">
        <v>1270</v>
      </c>
      <c r="G673" s="40" t="s">
        <v>1141</v>
      </c>
      <c r="H673" s="40" t="s">
        <v>1968</v>
      </c>
      <c r="I673" s="37" t="s">
        <v>32</v>
      </c>
      <c r="J673" t="str">
        <f>VLOOKUP(F673,'[1]BASE DE DADOS'!$A:$C,3,0)</f>
        <v xml:space="preserve">Alex Junior Rodrigues dos santos </v>
      </c>
    </row>
    <row r="674" spans="1:10" x14ac:dyDescent="0.25">
      <c r="A674" s="40" t="s">
        <v>1969</v>
      </c>
      <c r="B674" s="41">
        <v>999881980920911</v>
      </c>
      <c r="C674" s="40" t="s">
        <v>40</v>
      </c>
      <c r="D674" s="40" t="s">
        <v>10</v>
      </c>
      <c r="E674" s="40" t="s">
        <v>1970</v>
      </c>
      <c r="F674" s="40" t="s">
        <v>1144</v>
      </c>
      <c r="G674" s="40" t="s">
        <v>1141</v>
      </c>
      <c r="H674" s="40">
        <v>0</v>
      </c>
      <c r="I674" s="37" t="s">
        <v>33</v>
      </c>
      <c r="J674" t="str">
        <f>VLOOKUP(F674,'[1]BASE DE DADOS'!$A:$C,3,0)</f>
        <v xml:space="preserve">Alex Junior Rodrigues dos santos </v>
      </c>
    </row>
    <row r="675" spans="1:10" x14ac:dyDescent="0.25">
      <c r="A675" s="40" t="s">
        <v>1971</v>
      </c>
      <c r="B675" s="41">
        <v>999882031088741</v>
      </c>
      <c r="C675" s="40" t="s">
        <v>40</v>
      </c>
      <c r="D675" s="40" t="s">
        <v>10</v>
      </c>
      <c r="E675" s="40" t="s">
        <v>1972</v>
      </c>
      <c r="F675" s="40" t="s">
        <v>1266</v>
      </c>
      <c r="G675" s="40" t="s">
        <v>1141</v>
      </c>
      <c r="H675" s="40" t="s">
        <v>1973</v>
      </c>
      <c r="I675" s="37" t="s">
        <v>32</v>
      </c>
      <c r="J675" t="str">
        <f>VLOOKUP(F675,'[1]BASE DE DADOS'!$A:$C,3,0)</f>
        <v>Eduardo Carvalho Vieira dos Santos</v>
      </c>
    </row>
    <row r="676" spans="1:10" x14ac:dyDescent="0.25">
      <c r="A676" s="40" t="s">
        <v>1974</v>
      </c>
      <c r="B676" s="41">
        <v>999881945908515</v>
      </c>
      <c r="C676" s="40" t="s">
        <v>40</v>
      </c>
      <c r="D676" s="40" t="s">
        <v>10</v>
      </c>
      <c r="E676" s="40" t="s">
        <v>472</v>
      </c>
      <c r="F676" s="40" t="s">
        <v>1184</v>
      </c>
      <c r="G676" s="40" t="s">
        <v>1141</v>
      </c>
      <c r="H676" s="40" t="s">
        <v>1975</v>
      </c>
      <c r="I676" s="37" t="s">
        <v>32</v>
      </c>
      <c r="J676" t="str">
        <f>VLOOKUP(F676,'[1]BASE DE DADOS'!$A:$C,3,0)</f>
        <v>Cleber Silvestre Almeida e Silva</v>
      </c>
    </row>
    <row r="677" spans="1:10" x14ac:dyDescent="0.25">
      <c r="A677" s="40" t="s">
        <v>1976</v>
      </c>
      <c r="B677" s="41">
        <v>999882028792107</v>
      </c>
      <c r="C677" s="40" t="s">
        <v>40</v>
      </c>
      <c r="D677" s="40" t="s">
        <v>10</v>
      </c>
      <c r="E677" s="40" t="s">
        <v>1977</v>
      </c>
      <c r="F677" s="40" t="s">
        <v>1161</v>
      </c>
      <c r="G677" s="40" t="s">
        <v>1141</v>
      </c>
      <c r="H677" s="40" t="s">
        <v>1978</v>
      </c>
      <c r="I677" s="37" t="s">
        <v>32</v>
      </c>
      <c r="J677" t="str">
        <f>VLOOKUP(F677,'[1]BASE DE DADOS'!$A:$C,3,0)</f>
        <v xml:space="preserve">Alex Junior Rodrigues dos santos </v>
      </c>
    </row>
    <row r="678" spans="1:10" x14ac:dyDescent="0.25">
      <c r="A678" s="40" t="s">
        <v>1979</v>
      </c>
      <c r="B678" s="41">
        <v>999882025982895</v>
      </c>
      <c r="C678" s="40" t="s">
        <v>40</v>
      </c>
      <c r="D678" s="40" t="s">
        <v>10</v>
      </c>
      <c r="E678" s="40" t="s">
        <v>1980</v>
      </c>
      <c r="F678" s="40" t="s">
        <v>1438</v>
      </c>
      <c r="G678" s="40" t="s">
        <v>1141</v>
      </c>
      <c r="H678" s="40" t="s">
        <v>1981</v>
      </c>
      <c r="I678" s="37" t="s">
        <v>32</v>
      </c>
      <c r="J678" t="str">
        <f>VLOOKUP(F678,'[1]BASE DE DADOS'!$A:$C,3,0)</f>
        <v xml:space="preserve">Alex Junior Rodrigues dos santos </v>
      </c>
    </row>
    <row r="679" spans="1:10" x14ac:dyDescent="0.25">
      <c r="A679" s="40" t="s">
        <v>1982</v>
      </c>
      <c r="B679" s="41">
        <v>999881930503317</v>
      </c>
      <c r="C679" s="40" t="s">
        <v>40</v>
      </c>
      <c r="D679" s="40" t="s">
        <v>10</v>
      </c>
      <c r="E679" s="40" t="s">
        <v>1983</v>
      </c>
      <c r="F679" s="40" t="s">
        <v>1254</v>
      </c>
      <c r="G679" s="40" t="s">
        <v>1141</v>
      </c>
      <c r="H679" s="40" t="s">
        <v>1984</v>
      </c>
      <c r="I679" s="37" t="s">
        <v>32</v>
      </c>
      <c r="J679" t="str">
        <f>VLOOKUP(F679,'[1]BASE DE DADOS'!$A:$C,3,0)</f>
        <v>Eduardo Carvalho Vieira dos Santos</v>
      </c>
    </row>
    <row r="680" spans="1:10" x14ac:dyDescent="0.25">
      <c r="A680" s="40" t="s">
        <v>1985</v>
      </c>
      <c r="B680" s="41">
        <v>999881939472606</v>
      </c>
      <c r="C680" s="40" t="s">
        <v>40</v>
      </c>
      <c r="D680" s="40" t="s">
        <v>10</v>
      </c>
      <c r="E680" s="40" t="s">
        <v>1986</v>
      </c>
      <c r="F680" s="40" t="s">
        <v>1468</v>
      </c>
      <c r="G680" s="40" t="s">
        <v>1141</v>
      </c>
      <c r="H680" s="40" t="s">
        <v>1987</v>
      </c>
      <c r="I680" s="37" t="s">
        <v>32</v>
      </c>
      <c r="J680" t="str">
        <f>VLOOKUP(F680,'[1]BASE DE DADOS'!$A:$C,3,0)</f>
        <v>Eduardo Carvalho Vieira dos Santos</v>
      </c>
    </row>
    <row r="681" spans="1:10" x14ac:dyDescent="0.25">
      <c r="A681" s="40" t="s">
        <v>1988</v>
      </c>
      <c r="B681" s="41">
        <v>999881981248652</v>
      </c>
      <c r="C681" s="40" t="s">
        <v>40</v>
      </c>
      <c r="D681" s="40" t="s">
        <v>10</v>
      </c>
      <c r="E681" s="40" t="s">
        <v>1989</v>
      </c>
      <c r="F681" s="40" t="s">
        <v>1274</v>
      </c>
      <c r="G681" s="40" t="s">
        <v>1141</v>
      </c>
      <c r="H681" s="40" t="s">
        <v>1990</v>
      </c>
      <c r="I681" s="37" t="s">
        <v>32</v>
      </c>
      <c r="J681" t="str">
        <f>VLOOKUP(F681,'[1]BASE DE DADOS'!$A:$C,3,0)</f>
        <v>Hiago Vinicius Alves Dos Santos Silva</v>
      </c>
    </row>
    <row r="682" spans="1:10" x14ac:dyDescent="0.25">
      <c r="A682" s="40" t="s">
        <v>1991</v>
      </c>
      <c r="B682" s="41">
        <v>999882031810870</v>
      </c>
      <c r="C682" s="40" t="s">
        <v>40</v>
      </c>
      <c r="D682" s="40" t="s">
        <v>10</v>
      </c>
      <c r="E682" s="40" t="s">
        <v>1992</v>
      </c>
      <c r="F682" s="40" t="s">
        <v>1184</v>
      </c>
      <c r="G682" s="40" t="s">
        <v>1141</v>
      </c>
      <c r="H682" s="40" t="s">
        <v>1993</v>
      </c>
      <c r="I682" s="37" t="s">
        <v>32</v>
      </c>
      <c r="J682" t="str">
        <f>VLOOKUP(F682,'[1]BASE DE DADOS'!$A:$C,3,0)</f>
        <v>Cleber Silvestre Almeida e Silva</v>
      </c>
    </row>
    <row r="683" spans="1:10" x14ac:dyDescent="0.25">
      <c r="A683" s="40" t="s">
        <v>1994</v>
      </c>
      <c r="B683" s="41">
        <v>999881930106351</v>
      </c>
      <c r="C683" s="40" t="s">
        <v>41</v>
      </c>
      <c r="D683" s="40" t="s">
        <v>10</v>
      </c>
      <c r="E683" s="40" t="s">
        <v>1995</v>
      </c>
      <c r="F683" s="40" t="s">
        <v>1278</v>
      </c>
      <c r="G683" s="40" t="s">
        <v>1141</v>
      </c>
      <c r="H683" s="40">
        <v>0</v>
      </c>
      <c r="I683" s="37" t="s">
        <v>33</v>
      </c>
      <c r="J683" t="str">
        <f>VLOOKUP(F683,'[1]BASE DE DADOS'!$A:$C,3,0)</f>
        <v>Eduardo Carvalho Vieira dos Santos</v>
      </c>
    </row>
    <row r="684" spans="1:10" x14ac:dyDescent="0.25">
      <c r="A684" s="40" t="s">
        <v>1996</v>
      </c>
      <c r="B684" s="41">
        <v>999882019145886</v>
      </c>
      <c r="C684" s="40" t="s">
        <v>40</v>
      </c>
      <c r="D684" s="40" t="s">
        <v>10</v>
      </c>
      <c r="E684" s="40" t="s">
        <v>1997</v>
      </c>
      <c r="F684" s="40" t="s">
        <v>1998</v>
      </c>
      <c r="G684" s="40" t="s">
        <v>1141</v>
      </c>
      <c r="H684" s="40" t="s">
        <v>1999</v>
      </c>
      <c r="I684" s="37" t="s">
        <v>32</v>
      </c>
      <c r="J684" t="str">
        <f>VLOOKUP(F684,'[1]BASE DE DADOS'!$A:$C,3,0)</f>
        <v>Eduardo Carvalho Vieira dos Santos</v>
      </c>
    </row>
    <row r="685" spans="1:10" x14ac:dyDescent="0.25">
      <c r="A685" s="40" t="s">
        <v>2000</v>
      </c>
      <c r="B685" s="41">
        <v>999882018051070</v>
      </c>
      <c r="C685" s="40" t="s">
        <v>43</v>
      </c>
      <c r="D685" s="40" t="s">
        <v>10</v>
      </c>
      <c r="E685" s="40" t="s">
        <v>2001</v>
      </c>
      <c r="F685" s="40" t="s">
        <v>1684</v>
      </c>
      <c r="G685" s="40" t="s">
        <v>1141</v>
      </c>
      <c r="H685" s="40" t="s">
        <v>2002</v>
      </c>
      <c r="I685" s="37" t="s">
        <v>32</v>
      </c>
      <c r="J685" t="str">
        <f>VLOOKUP(F685,'[1]BASE DE DADOS'!$A:$C,3,0)</f>
        <v>Eduardo Carvalho Vieira dos Santos</v>
      </c>
    </row>
    <row r="686" spans="1:10" x14ac:dyDescent="0.25">
      <c r="A686" s="40" t="s">
        <v>2003</v>
      </c>
      <c r="B686" s="41">
        <v>999882050829581</v>
      </c>
      <c r="C686" s="40" t="s">
        <v>40</v>
      </c>
      <c r="D686" s="40" t="s">
        <v>10</v>
      </c>
      <c r="E686" s="40" t="s">
        <v>2004</v>
      </c>
      <c r="F686" s="40" t="s">
        <v>1274</v>
      </c>
      <c r="G686" s="40" t="s">
        <v>1141</v>
      </c>
      <c r="H686" s="40" t="s">
        <v>2005</v>
      </c>
      <c r="I686" s="37" t="s">
        <v>32</v>
      </c>
      <c r="J686" t="str">
        <f>VLOOKUP(F686,'[1]BASE DE DADOS'!$A:$C,3,0)</f>
        <v>Hiago Vinicius Alves Dos Santos Silva</v>
      </c>
    </row>
    <row r="687" spans="1:10" x14ac:dyDescent="0.25">
      <c r="A687" s="40" t="s">
        <v>2006</v>
      </c>
      <c r="B687" s="41">
        <v>999881977120751</v>
      </c>
      <c r="C687" s="40" t="s">
        <v>40</v>
      </c>
      <c r="D687" s="40" t="s">
        <v>10</v>
      </c>
      <c r="E687" s="40" t="s">
        <v>2007</v>
      </c>
      <c r="F687" s="40" t="s">
        <v>1151</v>
      </c>
      <c r="G687" s="40" t="s">
        <v>1141</v>
      </c>
      <c r="H687" s="40" t="s">
        <v>2008</v>
      </c>
      <c r="I687" s="37" t="s">
        <v>32</v>
      </c>
      <c r="J687" t="str">
        <f>VLOOKUP(F687,'[1]BASE DE DADOS'!$A:$C,3,0)</f>
        <v>Hiago Vinicius Alves Dos Santos Silva</v>
      </c>
    </row>
    <row r="688" spans="1:10" x14ac:dyDescent="0.25">
      <c r="A688" s="40" t="s">
        <v>2009</v>
      </c>
      <c r="B688" s="41">
        <v>999881983323581</v>
      </c>
      <c r="C688" s="40" t="s">
        <v>40</v>
      </c>
      <c r="D688" s="40" t="s">
        <v>10</v>
      </c>
      <c r="E688" s="40" t="s">
        <v>2010</v>
      </c>
      <c r="F688" s="40" t="s">
        <v>1144</v>
      </c>
      <c r="G688" s="40" t="s">
        <v>1141</v>
      </c>
      <c r="H688" s="40">
        <v>0</v>
      </c>
      <c r="I688" s="37" t="s">
        <v>33</v>
      </c>
      <c r="J688" t="str">
        <f>VLOOKUP(F688,'[1]BASE DE DADOS'!$A:$C,3,0)</f>
        <v xml:space="preserve">Alex Junior Rodrigues dos santos </v>
      </c>
    </row>
    <row r="689" spans="1:10" x14ac:dyDescent="0.25">
      <c r="A689" s="40" t="s">
        <v>2011</v>
      </c>
      <c r="B689" s="41">
        <v>999881906140093</v>
      </c>
      <c r="C689" s="40" t="s">
        <v>40</v>
      </c>
      <c r="D689" s="40" t="s">
        <v>10</v>
      </c>
      <c r="E689" s="40" t="s">
        <v>2012</v>
      </c>
      <c r="F689" s="40" t="s">
        <v>1428</v>
      </c>
      <c r="G689" s="40" t="s">
        <v>1141</v>
      </c>
      <c r="H689" s="40" t="s">
        <v>2013</v>
      </c>
      <c r="I689" s="37" t="s">
        <v>32</v>
      </c>
      <c r="J689" t="str">
        <f>VLOOKUP(F689,'[1]BASE DE DADOS'!$A:$C,3,0)</f>
        <v xml:space="preserve">Alex Junior Rodrigues dos santos </v>
      </c>
    </row>
    <row r="690" spans="1:10" x14ac:dyDescent="0.25">
      <c r="A690" s="40" t="s">
        <v>2014</v>
      </c>
      <c r="B690" s="41">
        <v>999882003722890</v>
      </c>
      <c r="C690" s="40" t="s">
        <v>40</v>
      </c>
      <c r="D690" s="40" t="s">
        <v>10</v>
      </c>
      <c r="E690" s="40" t="s">
        <v>2015</v>
      </c>
      <c r="F690" s="40" t="s">
        <v>2016</v>
      </c>
      <c r="G690" s="40" t="s">
        <v>1141</v>
      </c>
      <c r="H690" s="40">
        <v>0</v>
      </c>
      <c r="I690" s="37" t="s">
        <v>33</v>
      </c>
      <c r="J690" t="str">
        <f>VLOOKUP(F690,'[1]BASE DE DADOS'!$A:$C,3,0)</f>
        <v>Cleber Silvestre Almeida e Silva</v>
      </c>
    </row>
    <row r="691" spans="1:10" x14ac:dyDescent="0.25">
      <c r="A691" s="40" t="s">
        <v>2017</v>
      </c>
      <c r="B691" s="41">
        <v>999882007333392</v>
      </c>
      <c r="C691" s="40" t="s">
        <v>40</v>
      </c>
      <c r="D691" s="40" t="s">
        <v>10</v>
      </c>
      <c r="E691" s="40" t="s">
        <v>2018</v>
      </c>
      <c r="F691" s="40" t="s">
        <v>2019</v>
      </c>
      <c r="G691" s="40" t="s">
        <v>1141</v>
      </c>
      <c r="H691" s="40">
        <v>0</v>
      </c>
      <c r="I691" s="37" t="s">
        <v>33</v>
      </c>
      <c r="J691" t="str">
        <f>VLOOKUP(F691,'[1]BASE DE DADOS'!$A:$C,3,0)</f>
        <v xml:space="preserve">Alex Junior Rodrigues dos santos </v>
      </c>
    </row>
    <row r="692" spans="1:10" x14ac:dyDescent="0.25">
      <c r="A692" s="40" t="s">
        <v>2020</v>
      </c>
      <c r="B692" s="41">
        <v>999882032044274</v>
      </c>
      <c r="C692" s="40" t="s">
        <v>40</v>
      </c>
      <c r="D692" s="40" t="s">
        <v>10</v>
      </c>
      <c r="E692" s="40" t="s">
        <v>2021</v>
      </c>
      <c r="F692" s="40" t="s">
        <v>1884</v>
      </c>
      <c r="G692" s="40" t="s">
        <v>1141</v>
      </c>
      <c r="H692" s="40" t="s">
        <v>2022</v>
      </c>
      <c r="I692" s="37" t="s">
        <v>32</v>
      </c>
      <c r="J692" t="str">
        <f>VLOOKUP(F692,'[1]BASE DE DADOS'!$A:$C,3,0)</f>
        <v xml:space="preserve">Alex Junior Rodrigues dos santos </v>
      </c>
    </row>
    <row r="693" spans="1:10" x14ac:dyDescent="0.25">
      <c r="A693" s="40" t="s">
        <v>2023</v>
      </c>
      <c r="B693" s="41">
        <v>999881977954796</v>
      </c>
      <c r="C693" s="40" t="s">
        <v>40</v>
      </c>
      <c r="D693" s="40" t="s">
        <v>10</v>
      </c>
      <c r="E693" s="40" t="s">
        <v>606</v>
      </c>
      <c r="F693" s="40" t="s">
        <v>1408</v>
      </c>
      <c r="G693" s="40" t="s">
        <v>1141</v>
      </c>
      <c r="H693" s="40" t="s">
        <v>2024</v>
      </c>
      <c r="I693" s="37" t="s">
        <v>32</v>
      </c>
      <c r="J693" t="str">
        <f>VLOOKUP(F693,'[1]BASE DE DADOS'!$A:$C,3,0)</f>
        <v>Hiago Vinicius Alves Dos Santos Silva</v>
      </c>
    </row>
    <row r="694" spans="1:10" x14ac:dyDescent="0.25">
      <c r="A694" s="40" t="s">
        <v>2025</v>
      </c>
      <c r="B694" s="41">
        <v>999882016029839</v>
      </c>
      <c r="C694" s="40" t="s">
        <v>40</v>
      </c>
      <c r="D694" s="40" t="s">
        <v>10</v>
      </c>
      <c r="E694" s="40" t="s">
        <v>2026</v>
      </c>
      <c r="F694" s="40" t="s">
        <v>1247</v>
      </c>
      <c r="G694" s="40" t="s">
        <v>1141</v>
      </c>
      <c r="H694" s="40">
        <v>0</v>
      </c>
      <c r="I694" s="37" t="s">
        <v>33</v>
      </c>
      <c r="J694" t="str">
        <f>VLOOKUP(F694,'[1]BASE DE DADOS'!$A:$C,3,0)</f>
        <v>Cleber Silvestre Almeida e Silva</v>
      </c>
    </row>
    <row r="695" spans="1:10" x14ac:dyDescent="0.25">
      <c r="A695" s="40" t="s">
        <v>2027</v>
      </c>
      <c r="B695" s="41">
        <v>999882022336857</v>
      </c>
      <c r="C695" s="40" t="s">
        <v>40</v>
      </c>
      <c r="D695" s="40" t="s">
        <v>10</v>
      </c>
      <c r="E695" s="40" t="s">
        <v>2028</v>
      </c>
      <c r="F695" s="40" t="s">
        <v>1158</v>
      </c>
      <c r="G695" s="40" t="s">
        <v>1141</v>
      </c>
      <c r="H695" s="40" t="s">
        <v>2029</v>
      </c>
      <c r="I695" s="37" t="s">
        <v>32</v>
      </c>
      <c r="J695" t="str">
        <f>VLOOKUP(F695,'[1]BASE DE DADOS'!$A:$C,3,0)</f>
        <v>Cleber Silvestre Almeida e Silva</v>
      </c>
    </row>
    <row r="696" spans="1:10" x14ac:dyDescent="0.25">
      <c r="A696" s="40" t="s">
        <v>2030</v>
      </c>
      <c r="B696" s="41">
        <v>999882020176920</v>
      </c>
      <c r="C696" s="40" t="s">
        <v>40</v>
      </c>
      <c r="D696" s="40" t="s">
        <v>10</v>
      </c>
      <c r="E696" s="40" t="s">
        <v>2031</v>
      </c>
      <c r="F696" s="40" t="s">
        <v>1247</v>
      </c>
      <c r="G696" s="40" t="s">
        <v>1141</v>
      </c>
      <c r="H696" s="40">
        <v>0</v>
      </c>
      <c r="I696" s="37" t="s">
        <v>33</v>
      </c>
      <c r="J696" t="str">
        <f>VLOOKUP(F696,'[1]BASE DE DADOS'!$A:$C,3,0)</f>
        <v>Cleber Silvestre Almeida e Silva</v>
      </c>
    </row>
    <row r="697" spans="1:10" x14ac:dyDescent="0.25">
      <c r="A697" s="40" t="s">
        <v>2032</v>
      </c>
      <c r="B697" s="41">
        <v>999881996274408</v>
      </c>
      <c r="C697" s="40" t="s">
        <v>40</v>
      </c>
      <c r="D697" s="40" t="s">
        <v>10</v>
      </c>
      <c r="E697" s="40" t="s">
        <v>2033</v>
      </c>
      <c r="F697" s="40" t="s">
        <v>1408</v>
      </c>
      <c r="G697" s="40" t="s">
        <v>1141</v>
      </c>
      <c r="H697" s="40" t="s">
        <v>2034</v>
      </c>
      <c r="I697" s="37" t="s">
        <v>32</v>
      </c>
      <c r="J697" t="str">
        <f>VLOOKUP(F697,'[1]BASE DE DADOS'!$A:$C,3,0)</f>
        <v>Hiago Vinicius Alves Dos Santos Silva</v>
      </c>
    </row>
    <row r="698" spans="1:10" x14ac:dyDescent="0.25">
      <c r="A698" s="40" t="s">
        <v>2035</v>
      </c>
      <c r="B698" s="41">
        <v>999881997545643</v>
      </c>
      <c r="C698" s="40" t="s">
        <v>40</v>
      </c>
      <c r="D698" s="40" t="s">
        <v>10</v>
      </c>
      <c r="E698" s="40" t="s">
        <v>2036</v>
      </c>
      <c r="F698" s="40" t="s">
        <v>1428</v>
      </c>
      <c r="G698" s="40" t="s">
        <v>1141</v>
      </c>
      <c r="H698" s="40" t="s">
        <v>2037</v>
      </c>
      <c r="I698" s="37" t="s">
        <v>32</v>
      </c>
      <c r="J698" t="str">
        <f>VLOOKUP(F698,'[1]BASE DE DADOS'!$A:$C,3,0)</f>
        <v xml:space="preserve">Alex Junior Rodrigues dos santos </v>
      </c>
    </row>
    <row r="699" spans="1:10" x14ac:dyDescent="0.25">
      <c r="A699" s="40" t="s">
        <v>2038</v>
      </c>
      <c r="B699" s="41">
        <v>999881945509429</v>
      </c>
      <c r="C699" s="40" t="s">
        <v>40</v>
      </c>
      <c r="D699" s="40" t="s">
        <v>10</v>
      </c>
      <c r="E699" s="40" t="s">
        <v>2039</v>
      </c>
      <c r="F699" s="40" t="s">
        <v>1254</v>
      </c>
      <c r="G699" s="40" t="s">
        <v>1141</v>
      </c>
      <c r="H699" s="40">
        <v>0</v>
      </c>
      <c r="I699" s="37" t="s">
        <v>33</v>
      </c>
      <c r="J699" t="str">
        <f>VLOOKUP(F699,'[1]BASE DE DADOS'!$A:$C,3,0)</f>
        <v>Eduardo Carvalho Vieira dos Santos</v>
      </c>
    </row>
    <row r="700" spans="1:10" x14ac:dyDescent="0.25">
      <c r="A700" s="40" t="s">
        <v>2040</v>
      </c>
      <c r="B700" s="41">
        <v>999882036336514</v>
      </c>
      <c r="C700" s="40" t="s">
        <v>40</v>
      </c>
      <c r="D700" s="40" t="s">
        <v>10</v>
      </c>
      <c r="E700" s="40" t="s">
        <v>2041</v>
      </c>
      <c r="F700" s="40" t="s">
        <v>1507</v>
      </c>
      <c r="G700" s="40" t="s">
        <v>1141</v>
      </c>
      <c r="H700" s="40" t="s">
        <v>2042</v>
      </c>
      <c r="I700" s="37" t="s">
        <v>32</v>
      </c>
      <c r="J700" t="str">
        <f>VLOOKUP(F700,'[1]BASE DE DADOS'!$A:$C,3,0)</f>
        <v>Cleber Silvestre Almeida e Silva</v>
      </c>
    </row>
    <row r="701" spans="1:10" x14ac:dyDescent="0.25">
      <c r="A701" s="40" t="s">
        <v>2043</v>
      </c>
      <c r="B701" s="41">
        <v>999882007226942</v>
      </c>
      <c r="C701" s="40" t="s">
        <v>40</v>
      </c>
      <c r="D701" s="40" t="s">
        <v>10</v>
      </c>
      <c r="E701" s="40" t="s">
        <v>2044</v>
      </c>
      <c r="F701" s="40" t="s">
        <v>1393</v>
      </c>
      <c r="G701" s="40" t="s">
        <v>1141</v>
      </c>
      <c r="H701" s="40" t="s">
        <v>2045</v>
      </c>
      <c r="I701" s="37" t="s">
        <v>32</v>
      </c>
      <c r="J701" t="str">
        <f>VLOOKUP(F701,'[1]BASE DE DADOS'!$A:$C,3,0)</f>
        <v>Eduardo Carvalho Vieira dos Santos</v>
      </c>
    </row>
    <row r="702" spans="1:10" x14ac:dyDescent="0.25">
      <c r="A702" s="40" t="s">
        <v>2046</v>
      </c>
      <c r="B702" s="41">
        <v>999882020862237</v>
      </c>
      <c r="C702" s="40" t="s">
        <v>40</v>
      </c>
      <c r="D702" s="40" t="s">
        <v>10</v>
      </c>
      <c r="E702" s="40" t="s">
        <v>2047</v>
      </c>
      <c r="F702" s="40" t="s">
        <v>1165</v>
      </c>
      <c r="G702" s="40" t="s">
        <v>1141</v>
      </c>
      <c r="H702" s="40" t="s">
        <v>2048</v>
      </c>
      <c r="I702" s="37" t="s">
        <v>32</v>
      </c>
      <c r="J702" t="str">
        <f>VLOOKUP(F702,'[1]BASE DE DADOS'!$A:$C,3,0)</f>
        <v>Eduardo Carvalho Vieira dos Santos</v>
      </c>
    </row>
    <row r="703" spans="1:10" x14ac:dyDescent="0.25">
      <c r="A703" s="40" t="s">
        <v>2049</v>
      </c>
      <c r="B703" s="41">
        <v>999882016515604</v>
      </c>
      <c r="C703" s="40" t="s">
        <v>40</v>
      </c>
      <c r="D703" s="40" t="s">
        <v>10</v>
      </c>
      <c r="E703" s="40" t="s">
        <v>2050</v>
      </c>
      <c r="F703" s="40" t="s">
        <v>1144</v>
      </c>
      <c r="G703" s="40" t="s">
        <v>1141</v>
      </c>
      <c r="H703" s="40" t="s">
        <v>2051</v>
      </c>
      <c r="I703" s="37" t="s">
        <v>32</v>
      </c>
      <c r="J703" t="str">
        <f>VLOOKUP(F703,'[1]BASE DE DADOS'!$A:$C,3,0)</f>
        <v xml:space="preserve">Alex Junior Rodrigues dos santos </v>
      </c>
    </row>
    <row r="704" spans="1:10" x14ac:dyDescent="0.25">
      <c r="A704" s="40" t="s">
        <v>2052</v>
      </c>
      <c r="B704" s="41">
        <v>999882019760715</v>
      </c>
      <c r="C704" s="40" t="s">
        <v>40</v>
      </c>
      <c r="D704" s="40" t="s">
        <v>10</v>
      </c>
      <c r="E704" s="40" t="s">
        <v>2053</v>
      </c>
      <c r="F704" s="40" t="s">
        <v>1278</v>
      </c>
      <c r="G704" s="40" t="s">
        <v>1141</v>
      </c>
      <c r="H704" s="40" t="s">
        <v>2054</v>
      </c>
      <c r="I704" s="37" t="s">
        <v>32</v>
      </c>
      <c r="J704" t="str">
        <f>VLOOKUP(F704,'[1]BASE DE DADOS'!$A:$C,3,0)</f>
        <v>Eduardo Carvalho Vieira dos Santos</v>
      </c>
    </row>
    <row r="705" spans="1:10" x14ac:dyDescent="0.25">
      <c r="A705" s="40" t="s">
        <v>2055</v>
      </c>
      <c r="B705" s="41">
        <v>999881958831985</v>
      </c>
      <c r="C705" s="40" t="s">
        <v>40</v>
      </c>
      <c r="D705" s="40" t="s">
        <v>10</v>
      </c>
      <c r="E705" s="40" t="s">
        <v>2056</v>
      </c>
      <c r="F705" s="40" t="s">
        <v>1339</v>
      </c>
      <c r="G705" s="40" t="s">
        <v>1141</v>
      </c>
      <c r="H705" s="40" t="s">
        <v>2057</v>
      </c>
      <c r="I705" s="37" t="s">
        <v>32</v>
      </c>
      <c r="J705" t="str">
        <f>VLOOKUP(F705,'[1]BASE DE DADOS'!$A:$C,3,0)</f>
        <v>Eduardo Carvalho Vieira dos Santos</v>
      </c>
    </row>
    <row r="706" spans="1:10" x14ac:dyDescent="0.25">
      <c r="A706" s="40" t="s">
        <v>2058</v>
      </c>
      <c r="B706" s="41">
        <v>999882029039416</v>
      </c>
      <c r="C706" s="40" t="s">
        <v>40</v>
      </c>
      <c r="D706" s="40" t="s">
        <v>10</v>
      </c>
      <c r="E706" s="40" t="s">
        <v>2059</v>
      </c>
      <c r="F706" s="40" t="s">
        <v>2060</v>
      </c>
      <c r="G706" s="40" t="s">
        <v>1141</v>
      </c>
      <c r="H706" s="40" t="s">
        <v>2061</v>
      </c>
      <c r="I706" s="37" t="s">
        <v>32</v>
      </c>
      <c r="J706" t="str">
        <f>VLOOKUP(F706,'[1]BASE DE DADOS'!$A:$C,3,0)</f>
        <v xml:space="preserve">Alex Junior Rodrigues dos santos </v>
      </c>
    </row>
    <row r="707" spans="1:10" x14ac:dyDescent="0.25">
      <c r="A707" s="40" t="s">
        <v>2062</v>
      </c>
      <c r="B707" s="41">
        <v>999882006891042</v>
      </c>
      <c r="C707" s="40" t="s">
        <v>40</v>
      </c>
      <c r="D707" s="40" t="s">
        <v>10</v>
      </c>
      <c r="E707" s="40" t="s">
        <v>2063</v>
      </c>
      <c r="F707" s="40" t="s">
        <v>2064</v>
      </c>
      <c r="G707" s="40" t="s">
        <v>1141</v>
      </c>
      <c r="H707" s="40" t="s">
        <v>2065</v>
      </c>
      <c r="I707" s="37" t="s">
        <v>32</v>
      </c>
      <c r="J707" t="str">
        <f>VLOOKUP(F707,'[1]BASE DE DADOS'!$A:$C,3,0)</f>
        <v>Eduardo Carvalho Vieira dos Santos</v>
      </c>
    </row>
    <row r="708" spans="1:10" x14ac:dyDescent="0.25">
      <c r="A708" s="40" t="s">
        <v>2066</v>
      </c>
      <c r="B708" s="41">
        <v>999882043051826</v>
      </c>
      <c r="C708" s="40" t="s">
        <v>40</v>
      </c>
      <c r="D708" s="40" t="s">
        <v>10</v>
      </c>
      <c r="E708" s="40" t="s">
        <v>2067</v>
      </c>
      <c r="F708" s="40" t="s">
        <v>2068</v>
      </c>
      <c r="G708" s="40" t="s">
        <v>1141</v>
      </c>
      <c r="H708" s="40" t="s">
        <v>2069</v>
      </c>
      <c r="I708" s="37" t="s">
        <v>32</v>
      </c>
      <c r="J708" t="str">
        <f>VLOOKUP(F708,'[1]BASE DE DADOS'!$A:$C,3,0)</f>
        <v xml:space="preserve">Alex Junior Rodrigues dos santos </v>
      </c>
    </row>
    <row r="709" spans="1:10" x14ac:dyDescent="0.25">
      <c r="A709" s="40" t="s">
        <v>2070</v>
      </c>
      <c r="B709" s="41">
        <v>999882023429911</v>
      </c>
      <c r="C709" s="40" t="s">
        <v>40</v>
      </c>
      <c r="D709" s="40" t="s">
        <v>10</v>
      </c>
      <c r="E709" s="40" t="s">
        <v>2071</v>
      </c>
      <c r="F709" s="40" t="s">
        <v>1232</v>
      </c>
      <c r="G709" s="40" t="s">
        <v>1141</v>
      </c>
      <c r="H709" s="40">
        <v>0</v>
      </c>
      <c r="I709" s="37" t="s">
        <v>33</v>
      </c>
      <c r="J709" t="str">
        <f>VLOOKUP(F709,'[1]BASE DE DADOS'!$A:$C,3,0)</f>
        <v>Eduardo Carvalho Vieira dos Santos</v>
      </c>
    </row>
    <row r="710" spans="1:10" x14ac:dyDescent="0.25">
      <c r="A710" s="40" t="s">
        <v>2072</v>
      </c>
      <c r="B710" s="41">
        <v>999882028149043</v>
      </c>
      <c r="C710" s="40" t="s">
        <v>41</v>
      </c>
      <c r="D710" s="40" t="s">
        <v>10</v>
      </c>
      <c r="E710" s="40" t="s">
        <v>2073</v>
      </c>
      <c r="F710" s="40" t="s">
        <v>1140</v>
      </c>
      <c r="G710" s="40" t="s">
        <v>1141</v>
      </c>
      <c r="H710" s="40">
        <v>0</v>
      </c>
      <c r="I710" s="37" t="s">
        <v>33</v>
      </c>
      <c r="J710" t="str">
        <f>VLOOKUP(F710,'[1]BASE DE DADOS'!$A:$C,3,0)</f>
        <v xml:space="preserve">Alex Junior Rodrigues dos santos </v>
      </c>
    </row>
    <row r="711" spans="1:10" x14ac:dyDescent="0.25">
      <c r="A711" s="40" t="s">
        <v>2074</v>
      </c>
      <c r="B711" s="41">
        <v>999881960027511</v>
      </c>
      <c r="C711" s="40" t="s">
        <v>40</v>
      </c>
      <c r="D711" s="40" t="s">
        <v>10</v>
      </c>
      <c r="E711" s="40" t="s">
        <v>2075</v>
      </c>
      <c r="F711" s="40" t="s">
        <v>1790</v>
      </c>
      <c r="G711" s="40" t="s">
        <v>1141</v>
      </c>
      <c r="H711" s="40" t="s">
        <v>1647</v>
      </c>
      <c r="I711" s="37" t="s">
        <v>32</v>
      </c>
      <c r="J711" t="str">
        <f>VLOOKUP(F711,'[1]BASE DE DADOS'!$A:$C,3,0)</f>
        <v>Cleber Silvestre Almeida e Silva</v>
      </c>
    </row>
    <row r="712" spans="1:10" x14ac:dyDescent="0.25">
      <c r="A712" s="40" t="s">
        <v>2076</v>
      </c>
      <c r="B712" s="41">
        <v>999881968462941</v>
      </c>
      <c r="C712" s="40" t="s">
        <v>40</v>
      </c>
      <c r="D712" s="40" t="s">
        <v>10</v>
      </c>
      <c r="E712" s="40" t="s">
        <v>2077</v>
      </c>
      <c r="F712" s="40" t="s">
        <v>1151</v>
      </c>
      <c r="G712" s="40" t="s">
        <v>1141</v>
      </c>
      <c r="H712" s="40" t="s">
        <v>2078</v>
      </c>
      <c r="I712" s="37" t="s">
        <v>32</v>
      </c>
      <c r="J712" t="str">
        <f>VLOOKUP(F712,'[1]BASE DE DADOS'!$A:$C,3,0)</f>
        <v>Hiago Vinicius Alves Dos Santos Silva</v>
      </c>
    </row>
    <row r="713" spans="1:10" x14ac:dyDescent="0.25">
      <c r="A713" s="40" t="s">
        <v>2079</v>
      </c>
      <c r="B713" s="41">
        <v>999881947732914</v>
      </c>
      <c r="C713" s="40" t="s">
        <v>40</v>
      </c>
      <c r="D713" s="40" t="s">
        <v>10</v>
      </c>
      <c r="E713" s="40" t="s">
        <v>2080</v>
      </c>
      <c r="F713" s="40" t="s">
        <v>2081</v>
      </c>
      <c r="G713" s="40" t="s">
        <v>1141</v>
      </c>
      <c r="H713" s="40" t="s">
        <v>2082</v>
      </c>
      <c r="I713" s="37" t="s">
        <v>32</v>
      </c>
      <c r="J713" t="str">
        <f>VLOOKUP(F713,'[1]BASE DE DADOS'!$A:$C,3,0)</f>
        <v>Cleber Silvestre Almeida e Silva</v>
      </c>
    </row>
    <row r="714" spans="1:10" x14ac:dyDescent="0.25">
      <c r="A714" s="40" t="s">
        <v>2083</v>
      </c>
      <c r="B714" s="41">
        <v>999881997619526</v>
      </c>
      <c r="C714" s="40" t="s">
        <v>40</v>
      </c>
      <c r="D714" s="40" t="s">
        <v>10</v>
      </c>
      <c r="E714" s="40" t="s">
        <v>2084</v>
      </c>
      <c r="F714" s="40" t="s">
        <v>1998</v>
      </c>
      <c r="G714" s="40" t="s">
        <v>1141</v>
      </c>
      <c r="H714" s="40" t="s">
        <v>2085</v>
      </c>
      <c r="I714" s="37" t="s">
        <v>32</v>
      </c>
      <c r="J714" t="str">
        <f>VLOOKUP(F714,'[1]BASE DE DADOS'!$A:$C,3,0)</f>
        <v>Eduardo Carvalho Vieira dos Santos</v>
      </c>
    </row>
    <row r="715" spans="1:10" x14ac:dyDescent="0.25">
      <c r="A715" s="40" t="s">
        <v>2086</v>
      </c>
      <c r="B715" s="41">
        <v>999882022546906</v>
      </c>
      <c r="C715" s="40" t="s">
        <v>40</v>
      </c>
      <c r="D715" s="40" t="s">
        <v>10</v>
      </c>
      <c r="E715" s="40" t="s">
        <v>2087</v>
      </c>
      <c r="F715" s="40" t="s">
        <v>1247</v>
      </c>
      <c r="G715" s="40" t="s">
        <v>1141</v>
      </c>
      <c r="H715" s="40" t="s">
        <v>2088</v>
      </c>
      <c r="I715" s="37" t="s">
        <v>32</v>
      </c>
      <c r="J715" t="str">
        <f>VLOOKUP(F715,'[1]BASE DE DADOS'!$A:$C,3,0)</f>
        <v>Cleber Silvestre Almeida e Silva</v>
      </c>
    </row>
    <row r="716" spans="1:10" x14ac:dyDescent="0.25">
      <c r="A716" s="40" t="s">
        <v>2089</v>
      </c>
      <c r="B716" s="41">
        <v>999882005945511</v>
      </c>
      <c r="C716" s="40" t="s">
        <v>40</v>
      </c>
      <c r="D716" s="40" t="s">
        <v>10</v>
      </c>
      <c r="E716" s="40" t="s">
        <v>2090</v>
      </c>
      <c r="F716" s="40" t="s">
        <v>1144</v>
      </c>
      <c r="G716" s="40" t="s">
        <v>1141</v>
      </c>
      <c r="H716" s="40">
        <v>0</v>
      </c>
      <c r="I716" s="37" t="s">
        <v>33</v>
      </c>
      <c r="J716" t="str">
        <f>VLOOKUP(F716,'[1]BASE DE DADOS'!$A:$C,3,0)</f>
        <v xml:space="preserve">Alex Junior Rodrigues dos santos </v>
      </c>
    </row>
    <row r="717" spans="1:10" x14ac:dyDescent="0.25">
      <c r="A717" s="40" t="s">
        <v>2091</v>
      </c>
      <c r="B717" s="41">
        <v>999882001334263</v>
      </c>
      <c r="C717" s="40" t="s">
        <v>40</v>
      </c>
      <c r="D717" s="40" t="s">
        <v>10</v>
      </c>
      <c r="E717" s="40" t="s">
        <v>2092</v>
      </c>
      <c r="F717" s="40" t="s">
        <v>1424</v>
      </c>
      <c r="G717" s="40" t="s">
        <v>1141</v>
      </c>
      <c r="H717" s="40" t="s">
        <v>2093</v>
      </c>
      <c r="I717" s="37" t="s">
        <v>32</v>
      </c>
      <c r="J717" t="str">
        <f>VLOOKUP(F717,'[1]BASE DE DADOS'!$A:$C,3,0)</f>
        <v>Eduardo Carvalho Vieira dos Santos</v>
      </c>
    </row>
    <row r="718" spans="1:10" x14ac:dyDescent="0.25">
      <c r="A718" s="40" t="s">
        <v>2094</v>
      </c>
      <c r="B718" s="41">
        <v>999881978768125</v>
      </c>
      <c r="C718" s="40" t="s">
        <v>40</v>
      </c>
      <c r="D718" s="40" t="s">
        <v>10</v>
      </c>
      <c r="E718" s="40" t="s">
        <v>2095</v>
      </c>
      <c r="F718" s="40" t="s">
        <v>1348</v>
      </c>
      <c r="G718" s="40" t="s">
        <v>1141</v>
      </c>
      <c r="H718" s="40" t="s">
        <v>2096</v>
      </c>
      <c r="I718" s="37" t="s">
        <v>32</v>
      </c>
      <c r="J718" t="str">
        <f>VLOOKUP(F718,'[1]BASE DE DADOS'!$A:$C,3,0)</f>
        <v>Eduardo Carvalho Vieira dos Santos</v>
      </c>
    </row>
    <row r="719" spans="1:10" x14ac:dyDescent="0.25">
      <c r="A719" s="40" t="s">
        <v>2097</v>
      </c>
      <c r="B719" s="41">
        <v>999882039194235</v>
      </c>
      <c r="C719" s="40" t="s">
        <v>40</v>
      </c>
      <c r="D719" s="40" t="s">
        <v>10</v>
      </c>
      <c r="E719" s="40" t="s">
        <v>2098</v>
      </c>
      <c r="F719" s="40" t="s">
        <v>1625</v>
      </c>
      <c r="G719" s="40" t="s">
        <v>1141</v>
      </c>
      <c r="H719" s="40" t="s">
        <v>2099</v>
      </c>
      <c r="I719" s="37" t="s">
        <v>32</v>
      </c>
      <c r="J719" t="str">
        <f>VLOOKUP(F719,'[1]BASE DE DADOS'!$A:$C,3,0)</f>
        <v>Eduardo Carvalho Vieira dos Santos</v>
      </c>
    </row>
    <row r="720" spans="1:10" x14ac:dyDescent="0.25">
      <c r="A720" s="40" t="s">
        <v>2100</v>
      </c>
      <c r="B720" s="41">
        <v>999881962142856</v>
      </c>
      <c r="C720" s="40" t="s">
        <v>40</v>
      </c>
      <c r="D720" s="40" t="s">
        <v>10</v>
      </c>
      <c r="E720" s="40" t="s">
        <v>2101</v>
      </c>
      <c r="F720" s="40" t="s">
        <v>1140</v>
      </c>
      <c r="G720" s="40" t="s">
        <v>1141</v>
      </c>
      <c r="H720" s="40">
        <v>0</v>
      </c>
      <c r="I720" s="37" t="s">
        <v>33</v>
      </c>
      <c r="J720" t="str">
        <f>VLOOKUP(F720,'[1]BASE DE DADOS'!$A:$C,3,0)</f>
        <v xml:space="preserve">Alex Junior Rodrigues dos santos </v>
      </c>
    </row>
    <row r="721" spans="1:10" x14ac:dyDescent="0.25">
      <c r="A721" s="40" t="s">
        <v>2102</v>
      </c>
      <c r="B721" s="41">
        <v>999882006097598</v>
      </c>
      <c r="C721" s="40" t="s">
        <v>40</v>
      </c>
      <c r="D721" s="40" t="s">
        <v>10</v>
      </c>
      <c r="E721" s="40" t="s">
        <v>2103</v>
      </c>
      <c r="F721" s="40" t="s">
        <v>1144</v>
      </c>
      <c r="G721" s="40" t="s">
        <v>1141</v>
      </c>
      <c r="H721" s="40">
        <v>0</v>
      </c>
      <c r="I721" s="37" t="s">
        <v>33</v>
      </c>
      <c r="J721" t="str">
        <f>VLOOKUP(F721,'[1]BASE DE DADOS'!$A:$C,3,0)</f>
        <v xml:space="preserve">Alex Junior Rodrigues dos santos </v>
      </c>
    </row>
    <row r="722" spans="1:10" x14ac:dyDescent="0.25">
      <c r="A722" s="40" t="s">
        <v>2104</v>
      </c>
      <c r="B722" s="41">
        <v>999882020838735</v>
      </c>
      <c r="C722" s="40" t="s">
        <v>40</v>
      </c>
      <c r="D722" s="40" t="s">
        <v>10</v>
      </c>
      <c r="E722" s="40" t="s">
        <v>2105</v>
      </c>
      <c r="F722" s="40" t="s">
        <v>1144</v>
      </c>
      <c r="G722" s="40" t="s">
        <v>1141</v>
      </c>
      <c r="H722" s="40">
        <v>0</v>
      </c>
      <c r="I722" s="37" t="s">
        <v>33</v>
      </c>
      <c r="J722" t="str">
        <f>VLOOKUP(F722,'[1]BASE DE DADOS'!$A:$C,3,0)</f>
        <v xml:space="preserve">Alex Junior Rodrigues dos santos </v>
      </c>
    </row>
    <row r="723" spans="1:10" x14ac:dyDescent="0.25">
      <c r="A723" s="40" t="s">
        <v>2106</v>
      </c>
      <c r="B723" s="41">
        <v>999881982729758</v>
      </c>
      <c r="C723" s="40" t="s">
        <v>40</v>
      </c>
      <c r="D723" s="40" t="s">
        <v>10</v>
      </c>
      <c r="E723" s="40" t="s">
        <v>2107</v>
      </c>
      <c r="F723" s="40" t="s">
        <v>1144</v>
      </c>
      <c r="G723" s="40" t="s">
        <v>1141</v>
      </c>
      <c r="H723" s="40">
        <v>0</v>
      </c>
      <c r="I723" s="37" t="s">
        <v>33</v>
      </c>
      <c r="J723" t="str">
        <f>VLOOKUP(F723,'[1]BASE DE DADOS'!$A:$C,3,0)</f>
        <v xml:space="preserve">Alex Junior Rodrigues dos santos </v>
      </c>
    </row>
    <row r="724" spans="1:10" x14ac:dyDescent="0.25">
      <c r="A724" s="40" t="s">
        <v>2108</v>
      </c>
      <c r="B724" s="41">
        <v>999882032231279</v>
      </c>
      <c r="C724" s="40" t="s">
        <v>40</v>
      </c>
      <c r="D724" s="40" t="s">
        <v>10</v>
      </c>
      <c r="E724" s="40" t="s">
        <v>2109</v>
      </c>
      <c r="F724" s="40" t="s">
        <v>1523</v>
      </c>
      <c r="G724" s="40" t="s">
        <v>1141</v>
      </c>
      <c r="H724" s="40" t="s">
        <v>2110</v>
      </c>
      <c r="I724" s="37" t="s">
        <v>32</v>
      </c>
      <c r="J724" t="str">
        <f>VLOOKUP(F724,'[1]BASE DE DADOS'!$A:$C,3,0)</f>
        <v>Hiago Vinicius Alves Dos Santos Silva</v>
      </c>
    </row>
    <row r="725" spans="1:10" x14ac:dyDescent="0.25">
      <c r="A725" s="40" t="s">
        <v>2111</v>
      </c>
      <c r="B725" s="41">
        <v>999882016010543</v>
      </c>
      <c r="C725" s="40" t="s">
        <v>40</v>
      </c>
      <c r="D725" s="40" t="s">
        <v>10</v>
      </c>
      <c r="E725" s="40" t="s">
        <v>2112</v>
      </c>
      <c r="F725" s="40" t="s">
        <v>2113</v>
      </c>
      <c r="G725" s="40" t="s">
        <v>1141</v>
      </c>
      <c r="H725" s="40" t="s">
        <v>2114</v>
      </c>
      <c r="I725" s="37" t="s">
        <v>32</v>
      </c>
      <c r="J725" t="str">
        <f>VLOOKUP(F725,'[1]BASE DE DADOS'!$A:$C,3,0)</f>
        <v>Hiago Vinicius Alves Dos Santos Silva</v>
      </c>
    </row>
    <row r="726" spans="1:10" x14ac:dyDescent="0.25">
      <c r="A726" s="40" t="s">
        <v>2115</v>
      </c>
      <c r="B726" s="41">
        <v>999881997977175</v>
      </c>
      <c r="C726" s="40" t="s">
        <v>40</v>
      </c>
      <c r="D726" s="40" t="s">
        <v>10</v>
      </c>
      <c r="E726" s="40" t="s">
        <v>2116</v>
      </c>
      <c r="F726" s="40" t="s">
        <v>1270</v>
      </c>
      <c r="G726" s="40" t="s">
        <v>1141</v>
      </c>
      <c r="H726" s="40" t="s">
        <v>2117</v>
      </c>
      <c r="I726" s="37" t="s">
        <v>32</v>
      </c>
      <c r="J726" t="str">
        <f>VLOOKUP(F726,'[1]BASE DE DADOS'!$A:$C,3,0)</f>
        <v xml:space="preserve">Alex Junior Rodrigues dos santos </v>
      </c>
    </row>
    <row r="727" spans="1:10" x14ac:dyDescent="0.25">
      <c r="A727" s="40" t="s">
        <v>2118</v>
      </c>
      <c r="B727" s="41">
        <v>999881933320423</v>
      </c>
      <c r="C727" s="40" t="s">
        <v>41</v>
      </c>
      <c r="D727" s="40" t="s">
        <v>10</v>
      </c>
      <c r="E727" s="40" t="s">
        <v>2119</v>
      </c>
      <c r="F727" s="40" t="s">
        <v>1562</v>
      </c>
      <c r="G727" s="40" t="s">
        <v>1141</v>
      </c>
      <c r="H727" s="40">
        <v>0</v>
      </c>
      <c r="I727" s="37" t="s">
        <v>33</v>
      </c>
      <c r="J727" t="str">
        <f>VLOOKUP(F727,'[1]BASE DE DADOS'!$A:$C,3,0)</f>
        <v>Eduardo Carvalho Vieira dos Santos</v>
      </c>
    </row>
    <row r="728" spans="1:10" x14ac:dyDescent="0.25">
      <c r="A728" s="40" t="s">
        <v>2120</v>
      </c>
      <c r="B728" s="41">
        <v>999881952068105</v>
      </c>
      <c r="C728" s="40" t="s">
        <v>40</v>
      </c>
      <c r="D728" s="40" t="s">
        <v>10</v>
      </c>
      <c r="E728" s="40" t="s">
        <v>2121</v>
      </c>
      <c r="F728" s="40" t="s">
        <v>1790</v>
      </c>
      <c r="G728" s="40" t="s">
        <v>1141</v>
      </c>
      <c r="H728" s="40">
        <v>0</v>
      </c>
      <c r="I728" s="37" t="s">
        <v>33</v>
      </c>
      <c r="J728" t="str">
        <f>VLOOKUP(F728,'[1]BASE DE DADOS'!$A:$C,3,0)</f>
        <v>Cleber Silvestre Almeida e Silva</v>
      </c>
    </row>
    <row r="729" spans="1:10" x14ac:dyDescent="0.25">
      <c r="A729" s="40" t="s">
        <v>2122</v>
      </c>
      <c r="B729" s="41">
        <v>999881981945265</v>
      </c>
      <c r="C729" s="40" t="s">
        <v>40</v>
      </c>
      <c r="D729" s="40" t="s">
        <v>10</v>
      </c>
      <c r="E729" s="40" t="s">
        <v>2123</v>
      </c>
      <c r="F729" s="40" t="s">
        <v>1144</v>
      </c>
      <c r="G729" s="40" t="s">
        <v>1141</v>
      </c>
      <c r="H729" s="40">
        <v>0</v>
      </c>
      <c r="I729" s="37" t="s">
        <v>33</v>
      </c>
      <c r="J729" t="str">
        <f>VLOOKUP(F729,'[1]BASE DE DADOS'!$A:$C,3,0)</f>
        <v xml:space="preserve">Alex Junior Rodrigues dos santos </v>
      </c>
    </row>
    <row r="730" spans="1:10" x14ac:dyDescent="0.25">
      <c r="A730" s="40" t="s">
        <v>2124</v>
      </c>
      <c r="B730" s="41">
        <v>999882038011586</v>
      </c>
      <c r="C730" s="40" t="s">
        <v>40</v>
      </c>
      <c r="D730" s="40" t="s">
        <v>10</v>
      </c>
      <c r="E730" s="40" t="s">
        <v>2125</v>
      </c>
      <c r="F730" s="40" t="s">
        <v>1144</v>
      </c>
      <c r="G730" s="40" t="s">
        <v>1141</v>
      </c>
      <c r="H730" s="40" t="s">
        <v>2126</v>
      </c>
      <c r="I730" s="37" t="s">
        <v>32</v>
      </c>
      <c r="J730" t="str">
        <f>VLOOKUP(F730,'[1]BASE DE DADOS'!$A:$C,3,0)</f>
        <v xml:space="preserve">Alex Junior Rodrigues dos santos </v>
      </c>
    </row>
    <row r="731" spans="1:10" x14ac:dyDescent="0.25">
      <c r="A731" s="40" t="s">
        <v>2127</v>
      </c>
      <c r="B731" s="41">
        <v>999882002463695</v>
      </c>
      <c r="C731" s="40" t="s">
        <v>40</v>
      </c>
      <c r="D731" s="40" t="s">
        <v>10</v>
      </c>
      <c r="E731" s="40" t="s">
        <v>2128</v>
      </c>
      <c r="F731" s="40" t="s">
        <v>1286</v>
      </c>
      <c r="G731" s="40" t="s">
        <v>1141</v>
      </c>
      <c r="H731" s="40" t="s">
        <v>2129</v>
      </c>
      <c r="I731" s="37" t="s">
        <v>32</v>
      </c>
      <c r="J731" t="str">
        <f>VLOOKUP(F731,'[1]BASE DE DADOS'!$A:$C,3,0)</f>
        <v>Cleber Silvestre Almeida e Silva</v>
      </c>
    </row>
    <row r="732" spans="1:10" x14ac:dyDescent="0.25">
      <c r="A732" s="40" t="s">
        <v>2130</v>
      </c>
      <c r="B732" s="41">
        <v>999882021287956</v>
      </c>
      <c r="C732" s="40" t="s">
        <v>40</v>
      </c>
      <c r="D732" s="40" t="s">
        <v>10</v>
      </c>
      <c r="E732" s="40" t="s">
        <v>2131</v>
      </c>
      <c r="F732" s="40" t="s">
        <v>2132</v>
      </c>
      <c r="G732" s="40" t="s">
        <v>1141</v>
      </c>
      <c r="H732" s="40">
        <v>0</v>
      </c>
      <c r="I732" s="37" t="s">
        <v>33</v>
      </c>
      <c r="J732" t="str">
        <f>VLOOKUP(F732,'[1]BASE DE DADOS'!$A:$C,3,0)</f>
        <v>Eduardo Carvalho Vieira dos Santos</v>
      </c>
    </row>
    <row r="733" spans="1:10" x14ac:dyDescent="0.25">
      <c r="A733" s="40" t="s">
        <v>2133</v>
      </c>
      <c r="B733" s="41">
        <v>999882046926656</v>
      </c>
      <c r="C733" s="40" t="s">
        <v>40</v>
      </c>
      <c r="D733" s="40" t="s">
        <v>10</v>
      </c>
      <c r="E733" s="40" t="s">
        <v>2134</v>
      </c>
      <c r="F733" s="40" t="s">
        <v>1274</v>
      </c>
      <c r="G733" s="40" t="s">
        <v>1141</v>
      </c>
      <c r="H733" s="40" t="s">
        <v>2135</v>
      </c>
      <c r="I733" s="37" t="s">
        <v>32</v>
      </c>
      <c r="J733" t="str">
        <f>VLOOKUP(F733,'[1]BASE DE DADOS'!$A:$C,3,0)</f>
        <v>Hiago Vinicius Alves Dos Santos Silva</v>
      </c>
    </row>
    <row r="734" spans="1:10" x14ac:dyDescent="0.25">
      <c r="A734" s="40" t="s">
        <v>2136</v>
      </c>
      <c r="B734" s="41">
        <v>999882030500927</v>
      </c>
      <c r="C734" s="40" t="s">
        <v>40</v>
      </c>
      <c r="D734" s="40" t="s">
        <v>10</v>
      </c>
      <c r="E734" s="40" t="s">
        <v>2137</v>
      </c>
      <c r="F734" s="40" t="s">
        <v>2138</v>
      </c>
      <c r="G734" s="40" t="s">
        <v>1141</v>
      </c>
      <c r="H734" s="40" t="s">
        <v>2139</v>
      </c>
      <c r="I734" s="37" t="s">
        <v>32</v>
      </c>
      <c r="J734" t="str">
        <f>VLOOKUP(F734,'[1]BASE DE DADOS'!$A:$C,3,0)</f>
        <v>Hiago Vinicius Alves Dos Santos Silva</v>
      </c>
    </row>
    <row r="735" spans="1:10" x14ac:dyDescent="0.25">
      <c r="A735" s="40" t="s">
        <v>2140</v>
      </c>
      <c r="B735" s="41">
        <v>999881990397375</v>
      </c>
      <c r="C735" s="40" t="s">
        <v>40</v>
      </c>
      <c r="D735" s="40" t="s">
        <v>10</v>
      </c>
      <c r="E735" s="40" t="s">
        <v>2141</v>
      </c>
      <c r="F735" s="40" t="s">
        <v>1151</v>
      </c>
      <c r="G735" s="40" t="s">
        <v>1141</v>
      </c>
      <c r="H735" s="40" t="s">
        <v>2142</v>
      </c>
      <c r="I735" s="37" t="s">
        <v>32</v>
      </c>
      <c r="J735" t="str">
        <f>VLOOKUP(F735,'[1]BASE DE DADOS'!$A:$C,3,0)</f>
        <v>Hiago Vinicius Alves Dos Santos Silva</v>
      </c>
    </row>
    <row r="736" spans="1:10" x14ac:dyDescent="0.25">
      <c r="A736" s="40" t="s">
        <v>2143</v>
      </c>
      <c r="B736" s="41">
        <v>999882037927292</v>
      </c>
      <c r="C736" s="40" t="s">
        <v>40</v>
      </c>
      <c r="D736" s="40" t="s">
        <v>10</v>
      </c>
      <c r="E736" s="40" t="s">
        <v>2144</v>
      </c>
      <c r="F736" s="40" t="s">
        <v>1369</v>
      </c>
      <c r="G736" s="40" t="s">
        <v>1141</v>
      </c>
      <c r="H736" s="40">
        <v>0</v>
      </c>
      <c r="I736" s="37" t="s">
        <v>33</v>
      </c>
      <c r="J736" t="str">
        <f>VLOOKUP(F736,'[1]BASE DE DADOS'!$A:$C,3,0)</f>
        <v>Eduardo Carvalho Vieira dos Santos</v>
      </c>
    </row>
    <row r="737" spans="1:10" x14ac:dyDescent="0.25">
      <c r="A737" s="40" t="s">
        <v>2145</v>
      </c>
      <c r="B737" s="41">
        <v>999882013719405</v>
      </c>
      <c r="C737" s="40" t="s">
        <v>40</v>
      </c>
      <c r="D737" s="40" t="s">
        <v>10</v>
      </c>
      <c r="E737" s="40" t="s">
        <v>2146</v>
      </c>
      <c r="F737" s="40" t="s">
        <v>2147</v>
      </c>
      <c r="G737" s="40" t="s">
        <v>1141</v>
      </c>
      <c r="H737" s="40" t="s">
        <v>2148</v>
      </c>
      <c r="I737" s="37" t="s">
        <v>32</v>
      </c>
      <c r="J737" t="str">
        <f>VLOOKUP(F737,'[1]BASE DE DADOS'!$A:$C,3,0)</f>
        <v>Cleber Silvestre Almeida e Silva</v>
      </c>
    </row>
    <row r="738" spans="1:10" x14ac:dyDescent="0.25">
      <c r="A738" s="40" t="s">
        <v>2149</v>
      </c>
      <c r="B738" s="41">
        <v>999881981064255</v>
      </c>
      <c r="C738" s="40" t="s">
        <v>40</v>
      </c>
      <c r="D738" s="40" t="s">
        <v>10</v>
      </c>
      <c r="E738" s="40" t="s">
        <v>2150</v>
      </c>
      <c r="F738" s="40" t="s">
        <v>1243</v>
      </c>
      <c r="G738" s="40" t="s">
        <v>1141</v>
      </c>
      <c r="H738" s="40">
        <v>0</v>
      </c>
      <c r="I738" s="37" t="s">
        <v>33</v>
      </c>
      <c r="J738" t="str">
        <f>VLOOKUP(F738,'[1]BASE DE DADOS'!$A:$C,3,0)</f>
        <v>Eduardo Carvalho Vieira dos Santos</v>
      </c>
    </row>
    <row r="739" spans="1:10" x14ac:dyDescent="0.25">
      <c r="A739" s="40" t="s">
        <v>2151</v>
      </c>
      <c r="B739" s="41">
        <v>999882015512896</v>
      </c>
      <c r="C739" s="40" t="s">
        <v>40</v>
      </c>
      <c r="D739" s="40" t="s">
        <v>10</v>
      </c>
      <c r="E739" s="40" t="s">
        <v>2152</v>
      </c>
      <c r="F739" s="40" t="s">
        <v>1263</v>
      </c>
      <c r="G739" s="40" t="s">
        <v>1141</v>
      </c>
      <c r="H739" s="40" t="s">
        <v>2153</v>
      </c>
      <c r="I739" s="37" t="s">
        <v>32</v>
      </c>
      <c r="J739" t="str">
        <f>VLOOKUP(F739,'[1]BASE DE DADOS'!$A:$C,3,0)</f>
        <v>Eduardo Carvalho Vieira dos Santos</v>
      </c>
    </row>
    <row r="740" spans="1:10" x14ac:dyDescent="0.25">
      <c r="A740" s="40" t="s">
        <v>2154</v>
      </c>
      <c r="B740" s="41">
        <v>999881985178336</v>
      </c>
      <c r="C740" s="40" t="s">
        <v>43</v>
      </c>
      <c r="D740" s="40" t="s">
        <v>10</v>
      </c>
      <c r="E740" s="40" t="s">
        <v>2155</v>
      </c>
      <c r="F740" s="40" t="s">
        <v>1165</v>
      </c>
      <c r="G740" s="40" t="s">
        <v>1141</v>
      </c>
      <c r="H740" s="40">
        <v>0</v>
      </c>
      <c r="I740" s="37" t="s">
        <v>33</v>
      </c>
      <c r="J740" t="str">
        <f>VLOOKUP(F740,'[1]BASE DE DADOS'!$A:$C,3,0)</f>
        <v>Eduardo Carvalho Vieira dos Santos</v>
      </c>
    </row>
    <row r="741" spans="1:10" x14ac:dyDescent="0.25">
      <c r="A741" s="40" t="s">
        <v>2156</v>
      </c>
      <c r="B741" s="41">
        <v>999881978886523</v>
      </c>
      <c r="C741" s="40" t="s">
        <v>40</v>
      </c>
      <c r="D741" s="40" t="s">
        <v>10</v>
      </c>
      <c r="E741" s="40" t="s">
        <v>2157</v>
      </c>
      <c r="F741" s="40" t="s">
        <v>1438</v>
      </c>
      <c r="G741" s="40" t="s">
        <v>1141</v>
      </c>
      <c r="H741" s="40" t="s">
        <v>2158</v>
      </c>
      <c r="I741" s="37" t="s">
        <v>32</v>
      </c>
      <c r="J741" t="str">
        <f>VLOOKUP(F741,'[1]BASE DE DADOS'!$A:$C,3,0)</f>
        <v xml:space="preserve">Alex Junior Rodrigues dos santos </v>
      </c>
    </row>
    <row r="742" spans="1:10" x14ac:dyDescent="0.25">
      <c r="A742" s="40" t="s">
        <v>2159</v>
      </c>
      <c r="B742" s="41">
        <v>999882025840807</v>
      </c>
      <c r="C742" s="40" t="s">
        <v>40</v>
      </c>
      <c r="D742" s="40" t="s">
        <v>10</v>
      </c>
      <c r="E742" s="40" t="s">
        <v>2160</v>
      </c>
      <c r="F742" s="40" t="s">
        <v>1270</v>
      </c>
      <c r="G742" s="40" t="s">
        <v>1141</v>
      </c>
      <c r="H742" s="40">
        <v>0</v>
      </c>
      <c r="I742" s="37" t="s">
        <v>33</v>
      </c>
      <c r="J742" t="str">
        <f>VLOOKUP(F742,'[1]BASE DE DADOS'!$A:$C,3,0)</f>
        <v xml:space="preserve">Alex Junior Rodrigues dos santos </v>
      </c>
    </row>
    <row r="743" spans="1:10" x14ac:dyDescent="0.25">
      <c r="A743" s="40" t="s">
        <v>2161</v>
      </c>
      <c r="B743" s="41">
        <v>999881969095560</v>
      </c>
      <c r="C743" s="40" t="s">
        <v>40</v>
      </c>
      <c r="D743" s="40" t="s">
        <v>10</v>
      </c>
      <c r="E743" s="40" t="s">
        <v>2162</v>
      </c>
      <c r="F743" s="40" t="s">
        <v>1161</v>
      </c>
      <c r="G743" s="40" t="s">
        <v>1141</v>
      </c>
      <c r="H743" s="40" t="s">
        <v>2163</v>
      </c>
      <c r="I743" s="37" t="s">
        <v>32</v>
      </c>
      <c r="J743" t="str">
        <f>VLOOKUP(F743,'[1]BASE DE DADOS'!$A:$C,3,0)</f>
        <v xml:space="preserve">Alex Junior Rodrigues dos santos </v>
      </c>
    </row>
    <row r="744" spans="1:10" x14ac:dyDescent="0.25">
      <c r="A744" s="40" t="s">
        <v>2164</v>
      </c>
      <c r="B744" s="41">
        <v>999882036886195</v>
      </c>
      <c r="C744" s="40" t="s">
        <v>40</v>
      </c>
      <c r="D744" s="40" t="s">
        <v>10</v>
      </c>
      <c r="E744" s="40" t="s">
        <v>2165</v>
      </c>
      <c r="F744" s="40" t="s">
        <v>1151</v>
      </c>
      <c r="G744" s="40" t="s">
        <v>1141</v>
      </c>
      <c r="H744" s="40" t="s">
        <v>2166</v>
      </c>
      <c r="I744" s="37" t="s">
        <v>32</v>
      </c>
      <c r="J744" t="str">
        <f>VLOOKUP(F744,'[1]BASE DE DADOS'!$A:$C,3,0)</f>
        <v>Hiago Vinicius Alves Dos Santos Silva</v>
      </c>
    </row>
    <row r="745" spans="1:10" x14ac:dyDescent="0.25">
      <c r="A745" s="40" t="s">
        <v>2167</v>
      </c>
      <c r="B745" s="41">
        <v>999881987200313</v>
      </c>
      <c r="C745" s="40" t="s">
        <v>40</v>
      </c>
      <c r="D745" s="40" t="s">
        <v>10</v>
      </c>
      <c r="E745" s="40" t="s">
        <v>2168</v>
      </c>
      <c r="F745" s="40" t="s">
        <v>1239</v>
      </c>
      <c r="G745" s="40" t="s">
        <v>1141</v>
      </c>
      <c r="H745" s="40" t="s">
        <v>2169</v>
      </c>
      <c r="I745" s="37" t="s">
        <v>32</v>
      </c>
      <c r="J745" t="str">
        <f>VLOOKUP(F745,'[1]BASE DE DADOS'!$A:$C,3,0)</f>
        <v>Eduardo Carvalho Vieira dos Santos</v>
      </c>
    </row>
    <row r="746" spans="1:10" x14ac:dyDescent="0.25">
      <c r="A746" s="40" t="s">
        <v>2170</v>
      </c>
      <c r="B746" s="41">
        <v>999882017303381</v>
      </c>
      <c r="C746" s="40" t="s">
        <v>40</v>
      </c>
      <c r="D746" s="40" t="s">
        <v>10</v>
      </c>
      <c r="E746" s="40" t="s">
        <v>2171</v>
      </c>
      <c r="F746" s="40" t="s">
        <v>1609</v>
      </c>
      <c r="G746" s="40" t="s">
        <v>1141</v>
      </c>
      <c r="H746" s="40" t="s">
        <v>2172</v>
      </c>
      <c r="I746" s="37" t="s">
        <v>32</v>
      </c>
      <c r="J746" t="str">
        <f>VLOOKUP(F746,'[1]BASE DE DADOS'!$A:$C,3,0)</f>
        <v>Eduardo Carvalho Vieira dos Santos</v>
      </c>
    </row>
    <row r="747" spans="1:10" x14ac:dyDescent="0.25">
      <c r="A747" s="40" t="s">
        <v>2173</v>
      </c>
      <c r="B747" s="41">
        <v>999882029049987</v>
      </c>
      <c r="C747" s="40" t="s">
        <v>40</v>
      </c>
      <c r="D747" s="40" t="s">
        <v>10</v>
      </c>
      <c r="E747" s="40" t="s">
        <v>2174</v>
      </c>
      <c r="F747" s="40" t="s">
        <v>1151</v>
      </c>
      <c r="G747" s="40" t="s">
        <v>1141</v>
      </c>
      <c r="H747" s="40" t="s">
        <v>2166</v>
      </c>
      <c r="I747" s="37" t="s">
        <v>32</v>
      </c>
      <c r="J747" t="str">
        <f>VLOOKUP(F747,'[1]BASE DE DADOS'!$A:$C,3,0)</f>
        <v>Hiago Vinicius Alves Dos Santos Silva</v>
      </c>
    </row>
    <row r="748" spans="1:10" x14ac:dyDescent="0.25">
      <c r="A748" s="40" t="s">
        <v>2175</v>
      </c>
      <c r="B748" s="41">
        <v>999882038165475</v>
      </c>
      <c r="C748" s="40" t="s">
        <v>40</v>
      </c>
      <c r="D748" s="40" t="s">
        <v>10</v>
      </c>
      <c r="E748" s="40" t="s">
        <v>2176</v>
      </c>
      <c r="F748" s="40" t="s">
        <v>1151</v>
      </c>
      <c r="G748" s="40" t="s">
        <v>1141</v>
      </c>
      <c r="H748" s="40" t="s">
        <v>2166</v>
      </c>
      <c r="I748" s="37" t="s">
        <v>32</v>
      </c>
      <c r="J748" t="str">
        <f>VLOOKUP(F748,'[1]BASE DE DADOS'!$A:$C,3,0)</f>
        <v>Hiago Vinicius Alves Dos Santos Silva</v>
      </c>
    </row>
    <row r="749" spans="1:10" x14ac:dyDescent="0.25">
      <c r="A749" s="40" t="s">
        <v>2177</v>
      </c>
      <c r="B749" s="41">
        <v>999881984635145</v>
      </c>
      <c r="C749" s="40" t="s">
        <v>40</v>
      </c>
      <c r="D749" s="40" t="s">
        <v>10</v>
      </c>
      <c r="E749" s="40" t="s">
        <v>2178</v>
      </c>
      <c r="F749" s="40" t="s">
        <v>2179</v>
      </c>
      <c r="G749" s="40" t="s">
        <v>1141</v>
      </c>
      <c r="H749" s="40" t="s">
        <v>2180</v>
      </c>
      <c r="I749" s="37" t="s">
        <v>32</v>
      </c>
      <c r="J749" t="e">
        <f>VLOOKUP(F749,'[1]BASE DE DADOS'!$A:$C,3,0)</f>
        <v>#N/A</v>
      </c>
    </row>
    <row r="750" spans="1:10" x14ac:dyDescent="0.25">
      <c r="A750" s="40" t="s">
        <v>2181</v>
      </c>
      <c r="B750" s="41">
        <v>999882005207352</v>
      </c>
      <c r="C750" s="40" t="s">
        <v>40</v>
      </c>
      <c r="D750" s="40" t="s">
        <v>10</v>
      </c>
      <c r="E750" s="40" t="s">
        <v>2182</v>
      </c>
      <c r="F750" s="40" t="s">
        <v>1483</v>
      </c>
      <c r="G750" s="40" t="s">
        <v>1141</v>
      </c>
      <c r="H750" s="40" t="s">
        <v>2183</v>
      </c>
      <c r="I750" s="37" t="s">
        <v>32</v>
      </c>
      <c r="J750" t="str">
        <f>VLOOKUP(F750,'[1]BASE DE DADOS'!$A:$C,3,0)</f>
        <v>Eduardo Carvalho Vieira dos Santos</v>
      </c>
    </row>
    <row r="751" spans="1:10" x14ac:dyDescent="0.25">
      <c r="A751" s="40" t="s">
        <v>2184</v>
      </c>
      <c r="B751" s="41">
        <v>999882012950985</v>
      </c>
      <c r="C751" s="40" t="s">
        <v>40</v>
      </c>
      <c r="D751" s="40" t="s">
        <v>10</v>
      </c>
      <c r="E751" s="40" t="s">
        <v>2185</v>
      </c>
      <c r="F751" s="40" t="s">
        <v>1511</v>
      </c>
      <c r="G751" s="40" t="s">
        <v>1141</v>
      </c>
      <c r="H751" s="40" t="s">
        <v>2186</v>
      </c>
      <c r="I751" s="37" t="s">
        <v>32</v>
      </c>
      <c r="J751" t="str">
        <f>VLOOKUP(F751,'[1]BASE DE DADOS'!$A:$C,3,0)</f>
        <v>Cleber Silvestre Almeida e Silva</v>
      </c>
    </row>
    <row r="752" spans="1:10" x14ac:dyDescent="0.25">
      <c r="A752" s="40" t="s">
        <v>2187</v>
      </c>
      <c r="B752" s="41">
        <v>999882008437085</v>
      </c>
      <c r="C752" s="40" t="s">
        <v>40</v>
      </c>
      <c r="D752" s="40" t="s">
        <v>10</v>
      </c>
      <c r="E752" s="40" t="s">
        <v>2188</v>
      </c>
      <c r="F752" s="40" t="s">
        <v>1438</v>
      </c>
      <c r="G752" s="40" t="s">
        <v>1141</v>
      </c>
      <c r="H752" s="40" t="s">
        <v>505</v>
      </c>
      <c r="I752" s="37" t="s">
        <v>32</v>
      </c>
      <c r="J752" t="str">
        <f>VLOOKUP(F752,'[1]BASE DE DADOS'!$A:$C,3,0)</f>
        <v xml:space="preserve">Alex Junior Rodrigues dos santos </v>
      </c>
    </row>
    <row r="753" spans="1:10" x14ac:dyDescent="0.25">
      <c r="A753" s="40" t="s">
        <v>2189</v>
      </c>
      <c r="B753" s="41">
        <v>999881953587019</v>
      </c>
      <c r="C753" s="40" t="s">
        <v>41</v>
      </c>
      <c r="D753" s="40" t="s">
        <v>10</v>
      </c>
      <c r="E753" s="40" t="s">
        <v>2190</v>
      </c>
      <c r="F753" s="40" t="s">
        <v>1323</v>
      </c>
      <c r="G753" s="40" t="s">
        <v>1141</v>
      </c>
      <c r="H753" s="40">
        <v>0</v>
      </c>
      <c r="I753" s="37" t="s">
        <v>33</v>
      </c>
      <c r="J753" t="str">
        <f>VLOOKUP(F753,'[1]BASE DE DADOS'!$A:$C,3,0)</f>
        <v>Cleber Silvestre Almeida e Silva</v>
      </c>
    </row>
    <row r="754" spans="1:10" x14ac:dyDescent="0.25">
      <c r="A754" s="40" t="s">
        <v>2191</v>
      </c>
      <c r="B754" s="41">
        <v>999882037637115</v>
      </c>
      <c r="C754" s="40" t="s">
        <v>40</v>
      </c>
      <c r="D754" s="40" t="s">
        <v>10</v>
      </c>
      <c r="E754" s="40" t="s">
        <v>2192</v>
      </c>
      <c r="F754" s="40" t="s">
        <v>2193</v>
      </c>
      <c r="G754" s="40" t="s">
        <v>1141</v>
      </c>
      <c r="H754" s="40" t="s">
        <v>2194</v>
      </c>
      <c r="I754" s="37" t="s">
        <v>32</v>
      </c>
      <c r="J754" t="str">
        <f>VLOOKUP(F754,'[1]BASE DE DADOS'!$A:$C,3,0)</f>
        <v>Cleber Silvestre Almeida e Silva</v>
      </c>
    </row>
    <row r="755" spans="1:10" x14ac:dyDescent="0.25">
      <c r="A755" s="40" t="s">
        <v>2195</v>
      </c>
      <c r="B755" s="41">
        <v>999882000918122</v>
      </c>
      <c r="C755" s="40" t="s">
        <v>40</v>
      </c>
      <c r="D755" s="40" t="s">
        <v>10</v>
      </c>
      <c r="E755" s="40" t="s">
        <v>2196</v>
      </c>
      <c r="F755" s="40" t="s">
        <v>1393</v>
      </c>
      <c r="G755" s="40" t="s">
        <v>1141</v>
      </c>
      <c r="H755" s="40" t="s">
        <v>2197</v>
      </c>
      <c r="I755" s="37" t="s">
        <v>32</v>
      </c>
      <c r="J755" t="str">
        <f>VLOOKUP(F755,'[1]BASE DE DADOS'!$A:$C,3,0)</f>
        <v>Eduardo Carvalho Vieira dos Santos</v>
      </c>
    </row>
    <row r="756" spans="1:10" x14ac:dyDescent="0.25">
      <c r="A756" s="40" t="s">
        <v>2198</v>
      </c>
      <c r="B756" s="41">
        <v>999882040732796</v>
      </c>
      <c r="C756" s="40" t="s">
        <v>40</v>
      </c>
      <c r="D756" s="40" t="s">
        <v>10</v>
      </c>
      <c r="E756" s="40" t="s">
        <v>687</v>
      </c>
      <c r="F756" s="40" t="s">
        <v>1998</v>
      </c>
      <c r="G756" s="40" t="s">
        <v>1141</v>
      </c>
      <c r="H756" s="40" t="s">
        <v>2199</v>
      </c>
      <c r="I756" s="37" t="s">
        <v>32</v>
      </c>
      <c r="J756" t="str">
        <f>VLOOKUP(F756,'[1]BASE DE DADOS'!$A:$C,3,0)</f>
        <v>Eduardo Carvalho Vieira dos Santos</v>
      </c>
    </row>
    <row r="757" spans="1:10" x14ac:dyDescent="0.25">
      <c r="A757" s="40" t="s">
        <v>2200</v>
      </c>
      <c r="B757" s="41">
        <v>999882046113705</v>
      </c>
      <c r="C757" s="40" t="s">
        <v>41</v>
      </c>
      <c r="D757" s="40" t="s">
        <v>10</v>
      </c>
      <c r="E757" s="40" t="s">
        <v>2201</v>
      </c>
      <c r="F757" s="40" t="s">
        <v>2060</v>
      </c>
      <c r="G757" s="40" t="s">
        <v>1141</v>
      </c>
      <c r="H757" s="40">
        <v>0</v>
      </c>
      <c r="I757" s="37" t="s">
        <v>33</v>
      </c>
      <c r="J757" t="str">
        <f>VLOOKUP(F757,'[1]BASE DE DADOS'!$A:$C,3,0)</f>
        <v xml:space="preserve">Alex Junior Rodrigues dos santos </v>
      </c>
    </row>
    <row r="758" spans="1:10" x14ac:dyDescent="0.25">
      <c r="A758" s="40" t="s">
        <v>2202</v>
      </c>
      <c r="B758" s="41">
        <v>999882012600467</v>
      </c>
      <c r="C758" s="40" t="s">
        <v>40</v>
      </c>
      <c r="D758" s="40" t="s">
        <v>10</v>
      </c>
      <c r="E758" s="40" t="s">
        <v>2203</v>
      </c>
      <c r="F758" s="40" t="s">
        <v>1254</v>
      </c>
      <c r="G758" s="40" t="s">
        <v>1141</v>
      </c>
      <c r="H758" s="40">
        <v>0</v>
      </c>
      <c r="I758" s="37" t="s">
        <v>33</v>
      </c>
      <c r="J758" t="str">
        <f>VLOOKUP(F758,'[1]BASE DE DADOS'!$A:$C,3,0)</f>
        <v>Eduardo Carvalho Vieira dos Santos</v>
      </c>
    </row>
    <row r="759" spans="1:10" x14ac:dyDescent="0.25">
      <c r="A759" s="40" t="s">
        <v>2204</v>
      </c>
      <c r="B759" s="41">
        <v>999882017469645</v>
      </c>
      <c r="C759" s="40" t="s">
        <v>40</v>
      </c>
      <c r="D759" s="40" t="s">
        <v>10</v>
      </c>
      <c r="E759" s="40" t="s">
        <v>2205</v>
      </c>
      <c r="F759" s="40" t="s">
        <v>1356</v>
      </c>
      <c r="G759" s="40" t="s">
        <v>1141</v>
      </c>
      <c r="H759" s="40" t="s">
        <v>2206</v>
      </c>
      <c r="I759" s="37" t="s">
        <v>32</v>
      </c>
      <c r="J759" t="str">
        <f>VLOOKUP(F759,'[1]BASE DE DADOS'!$A:$C,3,0)</f>
        <v>Cleber Silvestre Almeida e Silva</v>
      </c>
    </row>
    <row r="760" spans="1:10" x14ac:dyDescent="0.25">
      <c r="A760" s="40" t="s">
        <v>2207</v>
      </c>
      <c r="B760" s="41">
        <v>999882023429170</v>
      </c>
      <c r="C760" s="40" t="s">
        <v>40</v>
      </c>
      <c r="D760" s="40" t="s">
        <v>10</v>
      </c>
      <c r="E760" s="40" t="s">
        <v>2208</v>
      </c>
      <c r="F760" s="40" t="s">
        <v>1274</v>
      </c>
      <c r="G760" s="40" t="s">
        <v>1141</v>
      </c>
      <c r="H760" s="40" t="s">
        <v>2209</v>
      </c>
      <c r="I760" s="37" t="s">
        <v>32</v>
      </c>
      <c r="J760" t="str">
        <f>VLOOKUP(F760,'[1]BASE DE DADOS'!$A:$C,3,0)</f>
        <v>Hiago Vinicius Alves Dos Santos Silva</v>
      </c>
    </row>
    <row r="761" spans="1:10" x14ac:dyDescent="0.25">
      <c r="A761" s="40" t="s">
        <v>2210</v>
      </c>
      <c r="B761" s="41">
        <v>999881976623660</v>
      </c>
      <c r="C761" s="40" t="s">
        <v>40</v>
      </c>
      <c r="D761" s="40" t="s">
        <v>10</v>
      </c>
      <c r="E761" s="40" t="s">
        <v>2211</v>
      </c>
      <c r="F761" s="40" t="s">
        <v>1154</v>
      </c>
      <c r="G761" s="40" t="s">
        <v>1141</v>
      </c>
      <c r="H761" s="40" t="s">
        <v>2212</v>
      </c>
      <c r="I761" s="37" t="s">
        <v>32</v>
      </c>
      <c r="J761" t="str">
        <f>VLOOKUP(F761,'[1]BASE DE DADOS'!$A:$C,3,0)</f>
        <v>Eduardo Carvalho Vieira dos Santos</v>
      </c>
    </row>
    <row r="762" spans="1:10" x14ac:dyDescent="0.25">
      <c r="A762" s="40" t="s">
        <v>2213</v>
      </c>
      <c r="B762" s="41">
        <v>999882025059353</v>
      </c>
      <c r="C762" s="40" t="s">
        <v>40</v>
      </c>
      <c r="D762" s="40" t="s">
        <v>10</v>
      </c>
      <c r="E762" s="40" t="s">
        <v>2214</v>
      </c>
      <c r="F762" s="40" t="s">
        <v>1263</v>
      </c>
      <c r="G762" s="40" t="s">
        <v>1141</v>
      </c>
      <c r="H762" s="40" t="s">
        <v>2215</v>
      </c>
      <c r="I762" s="37" t="s">
        <v>32</v>
      </c>
      <c r="J762" t="str">
        <f>VLOOKUP(F762,'[1]BASE DE DADOS'!$A:$C,3,0)</f>
        <v>Eduardo Carvalho Vieira dos Santos</v>
      </c>
    </row>
    <row r="763" spans="1:10" x14ac:dyDescent="0.25">
      <c r="A763" s="40" t="s">
        <v>2216</v>
      </c>
      <c r="B763" s="41">
        <v>999881987698485</v>
      </c>
      <c r="C763" s="40" t="s">
        <v>40</v>
      </c>
      <c r="D763" s="40" t="s">
        <v>10</v>
      </c>
      <c r="E763" s="40" t="s">
        <v>2217</v>
      </c>
      <c r="F763" s="40" t="s">
        <v>1151</v>
      </c>
      <c r="G763" s="40" t="s">
        <v>1141</v>
      </c>
      <c r="H763" s="40" t="s">
        <v>2218</v>
      </c>
      <c r="I763" s="37" t="s">
        <v>32</v>
      </c>
      <c r="J763" t="str">
        <f>VLOOKUP(F763,'[1]BASE DE DADOS'!$A:$C,3,0)</f>
        <v>Hiago Vinicius Alves Dos Santos Silva</v>
      </c>
    </row>
    <row r="764" spans="1:10" x14ac:dyDescent="0.25">
      <c r="A764" s="40" t="s">
        <v>2219</v>
      </c>
      <c r="B764" s="41">
        <v>999881955227133</v>
      </c>
      <c r="C764" s="40" t="s">
        <v>41</v>
      </c>
      <c r="D764" s="40" t="s">
        <v>10</v>
      </c>
      <c r="E764" s="40" t="s">
        <v>2220</v>
      </c>
      <c r="F764" s="40" t="s">
        <v>1955</v>
      </c>
      <c r="G764" s="40" t="s">
        <v>1141</v>
      </c>
      <c r="H764" s="40">
        <v>0</v>
      </c>
      <c r="I764" s="37" t="s">
        <v>33</v>
      </c>
      <c r="J764" t="str">
        <f>VLOOKUP(F764,'[1]BASE DE DADOS'!$A:$C,3,0)</f>
        <v xml:space="preserve">Alex Junior Rodrigues dos santos </v>
      </c>
    </row>
    <row r="765" spans="1:10" x14ac:dyDescent="0.25">
      <c r="A765" s="40" t="s">
        <v>2221</v>
      </c>
      <c r="B765" s="41">
        <v>999882027147037</v>
      </c>
      <c r="C765" s="40" t="s">
        <v>41</v>
      </c>
      <c r="D765" s="40" t="s">
        <v>10</v>
      </c>
      <c r="E765" s="40" t="s">
        <v>2222</v>
      </c>
      <c r="F765" s="40" t="s">
        <v>1266</v>
      </c>
      <c r="G765" s="40" t="s">
        <v>1141</v>
      </c>
      <c r="H765" s="40" t="s">
        <v>2223</v>
      </c>
      <c r="I765" s="37" t="s">
        <v>32</v>
      </c>
      <c r="J765" t="str">
        <f>VLOOKUP(F765,'[1]BASE DE DADOS'!$A:$C,3,0)</f>
        <v>Eduardo Carvalho Vieira dos Santos</v>
      </c>
    </row>
    <row r="766" spans="1:10" x14ac:dyDescent="0.25">
      <c r="A766" s="40" t="s">
        <v>2224</v>
      </c>
      <c r="B766" s="41">
        <v>999882003766648</v>
      </c>
      <c r="C766" s="40" t="s">
        <v>40</v>
      </c>
      <c r="D766" s="40" t="s">
        <v>10</v>
      </c>
      <c r="E766" s="40" t="s">
        <v>2225</v>
      </c>
      <c r="F766" s="40" t="s">
        <v>1373</v>
      </c>
      <c r="G766" s="40" t="s">
        <v>1141</v>
      </c>
      <c r="H766" s="40" t="s">
        <v>2226</v>
      </c>
      <c r="I766" s="37" t="s">
        <v>32</v>
      </c>
      <c r="J766" t="str">
        <f>VLOOKUP(F766,'[1]BASE DE DADOS'!$A:$C,3,0)</f>
        <v>Hiago Vinicius Alves Dos Santos Silva</v>
      </c>
    </row>
    <row r="767" spans="1:10" x14ac:dyDescent="0.25">
      <c r="A767" s="40" t="s">
        <v>2227</v>
      </c>
      <c r="B767" s="41">
        <v>999882017208322</v>
      </c>
      <c r="C767" s="40" t="s">
        <v>40</v>
      </c>
      <c r="D767" s="40" t="s">
        <v>10</v>
      </c>
      <c r="E767" s="40" t="s">
        <v>2228</v>
      </c>
      <c r="F767" s="40" t="s">
        <v>1431</v>
      </c>
      <c r="G767" s="40" t="s">
        <v>1141</v>
      </c>
      <c r="H767" s="40" t="s">
        <v>2229</v>
      </c>
      <c r="I767" s="37" t="s">
        <v>32</v>
      </c>
      <c r="J767" t="str">
        <f>VLOOKUP(F767,'[1]BASE DE DADOS'!$A:$C,3,0)</f>
        <v xml:space="preserve">Alex Junior Rodrigues dos santos </v>
      </c>
    </row>
    <row r="768" spans="1:10" x14ac:dyDescent="0.25">
      <c r="A768" s="40" t="s">
        <v>2230</v>
      </c>
      <c r="B768" s="41">
        <v>999881991465186</v>
      </c>
      <c r="C768" s="40" t="s">
        <v>40</v>
      </c>
      <c r="D768" s="40" t="s">
        <v>10</v>
      </c>
      <c r="E768" s="40" t="s">
        <v>2231</v>
      </c>
      <c r="F768" s="40" t="s">
        <v>1165</v>
      </c>
      <c r="G768" s="40" t="s">
        <v>1141</v>
      </c>
      <c r="H768" s="40">
        <v>0</v>
      </c>
      <c r="I768" s="37" t="s">
        <v>33</v>
      </c>
      <c r="J768" t="str">
        <f>VLOOKUP(F768,'[1]BASE DE DADOS'!$A:$C,3,0)</f>
        <v>Eduardo Carvalho Vieira dos Santos</v>
      </c>
    </row>
    <row r="769" spans="1:10" x14ac:dyDescent="0.25">
      <c r="A769" s="40" t="s">
        <v>2232</v>
      </c>
      <c r="B769" s="41">
        <v>999881989363188</v>
      </c>
      <c r="C769" s="40" t="s">
        <v>40</v>
      </c>
      <c r="D769" s="40" t="s">
        <v>10</v>
      </c>
      <c r="E769" s="40" t="s">
        <v>2233</v>
      </c>
      <c r="F769" s="40" t="s">
        <v>1765</v>
      </c>
      <c r="G769" s="40" t="s">
        <v>1141</v>
      </c>
      <c r="H769" s="40" t="s">
        <v>2234</v>
      </c>
      <c r="I769" s="37" t="s">
        <v>32</v>
      </c>
      <c r="J769" t="str">
        <f>VLOOKUP(F769,'[1]BASE DE DADOS'!$A:$C,3,0)</f>
        <v xml:space="preserve">Alex Junior Rodrigues dos santos </v>
      </c>
    </row>
    <row r="770" spans="1:10" x14ac:dyDescent="0.25">
      <c r="A770" s="40" t="s">
        <v>2235</v>
      </c>
      <c r="B770" s="41">
        <v>999882009811557</v>
      </c>
      <c r="C770" s="40" t="s">
        <v>40</v>
      </c>
      <c r="D770" s="40" t="s">
        <v>10</v>
      </c>
      <c r="E770" s="40" t="s">
        <v>2236</v>
      </c>
      <c r="F770" s="40" t="s">
        <v>1140</v>
      </c>
      <c r="G770" s="40" t="s">
        <v>1141</v>
      </c>
      <c r="H770" s="40">
        <v>0</v>
      </c>
      <c r="I770" s="37" t="s">
        <v>33</v>
      </c>
      <c r="J770" t="str">
        <f>VLOOKUP(F770,'[1]BASE DE DADOS'!$A:$C,3,0)</f>
        <v xml:space="preserve">Alex Junior Rodrigues dos santos </v>
      </c>
    </row>
    <row r="771" spans="1:10" x14ac:dyDescent="0.25">
      <c r="A771" s="40" t="s">
        <v>2237</v>
      </c>
      <c r="B771" s="41">
        <v>999881957101486</v>
      </c>
      <c r="C771" s="40" t="s">
        <v>40</v>
      </c>
      <c r="D771" s="40" t="s">
        <v>10</v>
      </c>
      <c r="E771" s="40" t="s">
        <v>2238</v>
      </c>
      <c r="F771" s="40" t="s">
        <v>1270</v>
      </c>
      <c r="G771" s="40" t="s">
        <v>1141</v>
      </c>
      <c r="H771" s="40" t="s">
        <v>2239</v>
      </c>
      <c r="I771" s="37" t="s">
        <v>32</v>
      </c>
      <c r="J771" t="str">
        <f>VLOOKUP(F771,'[1]BASE DE DADOS'!$A:$C,3,0)</f>
        <v xml:space="preserve">Alex Junior Rodrigues dos santos </v>
      </c>
    </row>
    <row r="772" spans="1:10" x14ac:dyDescent="0.25">
      <c r="A772" s="40" t="s">
        <v>2240</v>
      </c>
      <c r="B772" s="41">
        <v>999881920156773</v>
      </c>
      <c r="C772" s="40" t="s">
        <v>40</v>
      </c>
      <c r="D772" s="40" t="s">
        <v>10</v>
      </c>
      <c r="E772" s="40" t="s">
        <v>2241</v>
      </c>
      <c r="F772" s="40" t="s">
        <v>1348</v>
      </c>
      <c r="G772" s="40" t="s">
        <v>1141</v>
      </c>
      <c r="H772" s="40">
        <v>0</v>
      </c>
      <c r="I772" s="37" t="s">
        <v>33</v>
      </c>
      <c r="J772" t="str">
        <f>VLOOKUP(F772,'[1]BASE DE DADOS'!$A:$C,3,0)</f>
        <v>Eduardo Carvalho Vieira dos Santos</v>
      </c>
    </row>
    <row r="773" spans="1:10" x14ac:dyDescent="0.25">
      <c r="A773" s="40" t="s">
        <v>2242</v>
      </c>
      <c r="B773" s="41">
        <v>999881968861621</v>
      </c>
      <c r="C773" s="40" t="s">
        <v>40</v>
      </c>
      <c r="D773" s="40" t="s">
        <v>10</v>
      </c>
      <c r="E773" s="40" t="s">
        <v>2243</v>
      </c>
      <c r="F773" s="40" t="s">
        <v>1438</v>
      </c>
      <c r="G773" s="40" t="s">
        <v>1141</v>
      </c>
      <c r="H773" s="40" t="s">
        <v>2244</v>
      </c>
      <c r="I773" s="37" t="s">
        <v>32</v>
      </c>
      <c r="J773" t="str">
        <f>VLOOKUP(F773,'[1]BASE DE DADOS'!$A:$C,3,0)</f>
        <v xml:space="preserve">Alex Junior Rodrigues dos santos </v>
      </c>
    </row>
    <row r="774" spans="1:10" x14ac:dyDescent="0.25">
      <c r="A774" s="40" t="s">
        <v>2245</v>
      </c>
      <c r="B774" s="41">
        <v>999882013987437</v>
      </c>
      <c r="C774" s="40" t="s">
        <v>40</v>
      </c>
      <c r="D774" s="40" t="s">
        <v>10</v>
      </c>
      <c r="E774" s="40" t="s">
        <v>2246</v>
      </c>
      <c r="F774" s="40" t="s">
        <v>1625</v>
      </c>
      <c r="G774" s="40" t="s">
        <v>1141</v>
      </c>
      <c r="H774" s="40">
        <v>0</v>
      </c>
      <c r="I774" s="37" t="s">
        <v>33</v>
      </c>
      <c r="J774" t="str">
        <f>VLOOKUP(F774,'[1]BASE DE DADOS'!$A:$C,3,0)</f>
        <v>Eduardo Carvalho Vieira dos Santos</v>
      </c>
    </row>
    <row r="775" spans="1:10" x14ac:dyDescent="0.25">
      <c r="A775" s="40" t="s">
        <v>2247</v>
      </c>
      <c r="B775" s="41">
        <v>999882019037814</v>
      </c>
      <c r="C775" s="40" t="s">
        <v>40</v>
      </c>
      <c r="D775" s="40" t="s">
        <v>10</v>
      </c>
      <c r="E775" s="40" t="s">
        <v>2248</v>
      </c>
      <c r="F775" s="40" t="s">
        <v>1144</v>
      </c>
      <c r="G775" s="40" t="s">
        <v>1141</v>
      </c>
      <c r="H775" s="40" t="s">
        <v>2249</v>
      </c>
      <c r="I775" s="37" t="s">
        <v>32</v>
      </c>
      <c r="J775" t="str">
        <f>VLOOKUP(F775,'[1]BASE DE DADOS'!$A:$C,3,0)</f>
        <v xml:space="preserve">Alex Junior Rodrigues dos santos </v>
      </c>
    </row>
    <row r="776" spans="1:10" x14ac:dyDescent="0.25">
      <c r="A776" s="40" t="s">
        <v>2250</v>
      </c>
      <c r="B776" s="41">
        <v>999881897048143</v>
      </c>
      <c r="C776" s="40" t="s">
        <v>40</v>
      </c>
      <c r="D776" s="40" t="s">
        <v>10</v>
      </c>
      <c r="E776" s="40" t="s">
        <v>2251</v>
      </c>
      <c r="F776" s="40" t="s">
        <v>1140</v>
      </c>
      <c r="G776" s="40" t="s">
        <v>1141</v>
      </c>
      <c r="H776" s="40">
        <v>0</v>
      </c>
      <c r="I776" s="37" t="s">
        <v>33</v>
      </c>
      <c r="J776" t="str">
        <f>VLOOKUP(F776,'[1]BASE DE DADOS'!$A:$C,3,0)</f>
        <v xml:space="preserve">Alex Junior Rodrigues dos santos </v>
      </c>
    </row>
    <row r="777" spans="1:10" x14ac:dyDescent="0.25">
      <c r="A777" s="40" t="s">
        <v>2252</v>
      </c>
      <c r="B777" s="41">
        <v>999882016674428</v>
      </c>
      <c r="C777" s="40" t="s">
        <v>41</v>
      </c>
      <c r="D777" s="40" t="s">
        <v>10</v>
      </c>
      <c r="E777" s="40" t="s">
        <v>2253</v>
      </c>
      <c r="F777" s="40" t="s">
        <v>1140</v>
      </c>
      <c r="G777" s="40" t="s">
        <v>1141</v>
      </c>
      <c r="H777" s="40">
        <v>0</v>
      </c>
      <c r="I777" s="37" t="s">
        <v>33</v>
      </c>
      <c r="J777" t="str">
        <f>VLOOKUP(F777,'[1]BASE DE DADOS'!$A:$C,3,0)</f>
        <v xml:space="preserve">Alex Junior Rodrigues dos santos </v>
      </c>
    </row>
    <row r="778" spans="1:10" x14ac:dyDescent="0.25">
      <c r="A778" s="40" t="s">
        <v>2254</v>
      </c>
      <c r="B778" s="41">
        <v>999882012282975</v>
      </c>
      <c r="C778" s="40" t="s">
        <v>40</v>
      </c>
      <c r="D778" s="40" t="s">
        <v>10</v>
      </c>
      <c r="E778" s="40" t="s">
        <v>2255</v>
      </c>
      <c r="F778" s="40" t="s">
        <v>1684</v>
      </c>
      <c r="G778" s="40" t="s">
        <v>1141</v>
      </c>
      <c r="H778" s="40" t="s">
        <v>2256</v>
      </c>
      <c r="I778" s="37" t="s">
        <v>32</v>
      </c>
      <c r="J778" t="str">
        <f>VLOOKUP(F778,'[1]BASE DE DADOS'!$A:$C,3,0)</f>
        <v>Eduardo Carvalho Vieira dos Santos</v>
      </c>
    </row>
    <row r="779" spans="1:10" x14ac:dyDescent="0.25">
      <c r="A779" s="40" t="s">
        <v>2257</v>
      </c>
      <c r="B779" s="41">
        <v>999882007635065</v>
      </c>
      <c r="C779" s="40" t="s">
        <v>43</v>
      </c>
      <c r="D779" s="40" t="s">
        <v>10</v>
      </c>
      <c r="E779" s="40" t="s">
        <v>2258</v>
      </c>
      <c r="F779" s="40" t="s">
        <v>1274</v>
      </c>
      <c r="G779" s="40" t="s">
        <v>1141</v>
      </c>
      <c r="H779" s="40">
        <v>0</v>
      </c>
      <c r="I779" s="37" t="s">
        <v>33</v>
      </c>
      <c r="J779" t="str">
        <f>VLOOKUP(F779,'[1]BASE DE DADOS'!$A:$C,3,0)</f>
        <v>Hiago Vinicius Alves Dos Santos Silva</v>
      </c>
    </row>
    <row r="780" spans="1:10" x14ac:dyDescent="0.25">
      <c r="A780" s="40" t="s">
        <v>2259</v>
      </c>
      <c r="B780" s="41">
        <v>999881906363297</v>
      </c>
      <c r="C780" s="40" t="s">
        <v>43</v>
      </c>
      <c r="D780" s="40" t="s">
        <v>10</v>
      </c>
      <c r="E780" s="40" t="s">
        <v>2260</v>
      </c>
      <c r="F780" s="40" t="s">
        <v>1675</v>
      </c>
      <c r="G780" s="40" t="s">
        <v>1141</v>
      </c>
      <c r="H780" s="40">
        <v>0</v>
      </c>
      <c r="I780" s="37" t="s">
        <v>33</v>
      </c>
      <c r="J780" t="str">
        <f>VLOOKUP(F780,'[1]BASE DE DADOS'!$A:$C,3,0)</f>
        <v>Cleber Silvestre Almeida e Silva</v>
      </c>
    </row>
    <row r="781" spans="1:10" x14ac:dyDescent="0.25">
      <c r="A781" s="40" t="s">
        <v>2261</v>
      </c>
      <c r="B781" s="41">
        <v>999881985450682</v>
      </c>
      <c r="C781" s="40" t="s">
        <v>43</v>
      </c>
      <c r="D781" s="40" t="s">
        <v>10</v>
      </c>
      <c r="E781" s="40" t="s">
        <v>2262</v>
      </c>
      <c r="F781" s="40" t="s">
        <v>1765</v>
      </c>
      <c r="G781" s="40" t="s">
        <v>1141</v>
      </c>
      <c r="H781" s="40" t="s">
        <v>2263</v>
      </c>
      <c r="I781" s="37" t="s">
        <v>32</v>
      </c>
      <c r="J781" t="str">
        <f>VLOOKUP(F781,'[1]BASE DE DADOS'!$A:$C,3,0)</f>
        <v xml:space="preserve">Alex Junior Rodrigues dos santos </v>
      </c>
    </row>
    <row r="782" spans="1:10" x14ac:dyDescent="0.25">
      <c r="A782" s="40" t="s">
        <v>2264</v>
      </c>
      <c r="B782" s="41">
        <v>999882013285097</v>
      </c>
      <c r="C782" s="40" t="s">
        <v>41</v>
      </c>
      <c r="D782" s="40" t="s">
        <v>10</v>
      </c>
      <c r="E782" s="40" t="s">
        <v>2265</v>
      </c>
      <c r="F782" s="40" t="s">
        <v>1932</v>
      </c>
      <c r="G782" s="40" t="s">
        <v>1141</v>
      </c>
      <c r="H782" s="40">
        <v>0</v>
      </c>
      <c r="I782" s="37" t="s">
        <v>33</v>
      </c>
      <c r="J782" t="str">
        <f>VLOOKUP(F782,'[1]BASE DE DADOS'!$A:$C,3,0)</f>
        <v>Cleber Silvestre Almeida e Silva</v>
      </c>
    </row>
    <row r="783" spans="1:10" x14ac:dyDescent="0.25">
      <c r="A783" s="40" t="s">
        <v>2266</v>
      </c>
      <c r="B783" s="41">
        <v>999882040369896</v>
      </c>
      <c r="C783" s="40" t="s">
        <v>43</v>
      </c>
      <c r="D783" s="40" t="s">
        <v>10</v>
      </c>
      <c r="E783" s="40" t="s">
        <v>2267</v>
      </c>
      <c r="F783" s="40" t="s">
        <v>1479</v>
      </c>
      <c r="G783" s="40" t="s">
        <v>1141</v>
      </c>
      <c r="H783" s="40">
        <v>0</v>
      </c>
      <c r="I783" s="37" t="s">
        <v>33</v>
      </c>
      <c r="J783" t="str">
        <f>VLOOKUP(F783,'[1]BASE DE DADOS'!$A:$C,3,0)</f>
        <v>Eduardo Carvalho Vieira dos Santos</v>
      </c>
    </row>
    <row r="784" spans="1:10" x14ac:dyDescent="0.25">
      <c r="A784" s="40" t="s">
        <v>2268</v>
      </c>
      <c r="B784" s="41">
        <v>999881982656889</v>
      </c>
      <c r="C784" s="40" t="s">
        <v>40</v>
      </c>
      <c r="D784" s="40" t="s">
        <v>10</v>
      </c>
      <c r="E784" s="40" t="s">
        <v>2269</v>
      </c>
      <c r="F784" s="40" t="s">
        <v>1479</v>
      </c>
      <c r="G784" s="40" t="s">
        <v>1141</v>
      </c>
      <c r="H784" s="40" t="s">
        <v>2270</v>
      </c>
      <c r="I784" s="37" t="s">
        <v>32</v>
      </c>
      <c r="J784" t="str">
        <f>VLOOKUP(F784,'[1]BASE DE DADOS'!$A:$C,3,0)</f>
        <v>Eduardo Carvalho Vieira dos Santos</v>
      </c>
    </row>
    <row r="785" spans="1:10" x14ac:dyDescent="0.25">
      <c r="A785" s="40" t="s">
        <v>2271</v>
      </c>
      <c r="B785" s="41">
        <v>999881985148740</v>
      </c>
      <c r="C785" s="40" t="s">
        <v>41</v>
      </c>
      <c r="D785" s="40" t="s">
        <v>10</v>
      </c>
      <c r="E785" s="40" t="s">
        <v>2272</v>
      </c>
      <c r="F785" s="40" t="s">
        <v>2147</v>
      </c>
      <c r="G785" s="40" t="s">
        <v>1141</v>
      </c>
      <c r="H785" s="40" t="s">
        <v>2273</v>
      </c>
      <c r="I785" s="37" t="s">
        <v>32</v>
      </c>
      <c r="J785" t="str">
        <f>VLOOKUP(F785,'[1]BASE DE DADOS'!$A:$C,3,0)</f>
        <v>Cleber Silvestre Almeida e Silva</v>
      </c>
    </row>
    <row r="786" spans="1:10" x14ac:dyDescent="0.25">
      <c r="A786" s="40" t="s">
        <v>2274</v>
      </c>
      <c r="B786" s="41">
        <v>999881970975294</v>
      </c>
      <c r="C786" s="40" t="s">
        <v>43</v>
      </c>
      <c r="D786" s="40" t="s">
        <v>10</v>
      </c>
      <c r="E786" s="40" t="s">
        <v>2275</v>
      </c>
      <c r="F786" s="40" t="s">
        <v>1270</v>
      </c>
      <c r="G786" s="40" t="s">
        <v>1141</v>
      </c>
      <c r="H786" s="40">
        <v>0</v>
      </c>
      <c r="I786" s="37" t="s">
        <v>33</v>
      </c>
      <c r="J786" t="str">
        <f>VLOOKUP(F786,'[1]BASE DE DADOS'!$A:$C,3,0)</f>
        <v xml:space="preserve">Alex Junior Rodrigues dos santos </v>
      </c>
    </row>
    <row r="787" spans="1:10" x14ac:dyDescent="0.25">
      <c r="A787" s="40" t="s">
        <v>2276</v>
      </c>
      <c r="B787" s="41">
        <v>999882021306455</v>
      </c>
      <c r="C787" s="40" t="s">
        <v>40</v>
      </c>
      <c r="D787" s="40" t="s">
        <v>10</v>
      </c>
      <c r="E787" s="40" t="s">
        <v>2277</v>
      </c>
      <c r="F787" s="40" t="s">
        <v>1479</v>
      </c>
      <c r="G787" s="40" t="s">
        <v>1141</v>
      </c>
      <c r="H787" s="40" t="s">
        <v>2278</v>
      </c>
      <c r="I787" s="37" t="s">
        <v>32</v>
      </c>
      <c r="J787" t="str">
        <f>VLOOKUP(F787,'[1]BASE DE DADOS'!$A:$C,3,0)</f>
        <v>Eduardo Carvalho Vieira dos Santos</v>
      </c>
    </row>
    <row r="788" spans="1:10" x14ac:dyDescent="0.25">
      <c r="A788" s="40" t="s">
        <v>2279</v>
      </c>
      <c r="B788" s="41">
        <v>999882019925823</v>
      </c>
      <c r="C788" s="40" t="s">
        <v>41</v>
      </c>
      <c r="D788" s="40" t="s">
        <v>10</v>
      </c>
      <c r="E788" s="40" t="s">
        <v>2280</v>
      </c>
      <c r="F788" s="40" t="s">
        <v>2281</v>
      </c>
      <c r="G788" s="40" t="s">
        <v>1141</v>
      </c>
      <c r="H788" s="40">
        <v>0</v>
      </c>
      <c r="I788" s="37" t="s">
        <v>33</v>
      </c>
      <c r="J788" t="str">
        <f>VLOOKUP(F788,'[1]BASE DE DADOS'!$A:$C,3,0)</f>
        <v>Eduardo Carvalho Vieira dos Santos</v>
      </c>
    </row>
    <row r="789" spans="1:10" x14ac:dyDescent="0.25">
      <c r="A789" s="40" t="s">
        <v>2282</v>
      </c>
      <c r="B789" s="41">
        <v>999882004215005</v>
      </c>
      <c r="C789" s="40" t="s">
        <v>42</v>
      </c>
      <c r="D789" s="40" t="s">
        <v>10</v>
      </c>
      <c r="E789" s="40" t="s">
        <v>2283</v>
      </c>
      <c r="F789" s="40" t="s">
        <v>2284</v>
      </c>
      <c r="G789" s="40" t="s">
        <v>1141</v>
      </c>
      <c r="H789" s="40" t="s">
        <v>2285</v>
      </c>
      <c r="I789" s="37" t="s">
        <v>32</v>
      </c>
      <c r="J789" t="str">
        <f>VLOOKUP(F789,'[1]BASE DE DADOS'!$A:$C,3,0)</f>
        <v xml:space="preserve">Alex Junior Rodrigues dos santos </v>
      </c>
    </row>
    <row r="790" spans="1:10" x14ac:dyDescent="0.25">
      <c r="A790" s="40" t="s">
        <v>2286</v>
      </c>
      <c r="B790" s="41">
        <v>999882021155319</v>
      </c>
      <c r="C790" s="40" t="s">
        <v>40</v>
      </c>
      <c r="D790" s="40" t="s">
        <v>10</v>
      </c>
      <c r="E790" s="40" t="s">
        <v>2287</v>
      </c>
      <c r="F790" s="40" t="s">
        <v>1165</v>
      </c>
      <c r="G790" s="40" t="s">
        <v>1141</v>
      </c>
      <c r="H790" s="40">
        <v>0</v>
      </c>
      <c r="I790" s="37" t="s">
        <v>33</v>
      </c>
      <c r="J790" t="str">
        <f>VLOOKUP(F790,'[1]BASE DE DADOS'!$A:$C,3,0)</f>
        <v>Eduardo Carvalho Vieira dos Santos</v>
      </c>
    </row>
    <row r="791" spans="1:10" x14ac:dyDescent="0.25">
      <c r="A791" s="40" t="s">
        <v>2288</v>
      </c>
      <c r="B791" s="41">
        <v>999882010094660</v>
      </c>
      <c r="C791" s="40" t="s">
        <v>43</v>
      </c>
      <c r="D791" s="40" t="s">
        <v>10</v>
      </c>
      <c r="E791" s="40" t="s">
        <v>2289</v>
      </c>
      <c r="F791" s="40" t="s">
        <v>1270</v>
      </c>
      <c r="G791" s="40" t="s">
        <v>1141</v>
      </c>
      <c r="H791" s="40">
        <v>0</v>
      </c>
      <c r="I791" s="37" t="s">
        <v>33</v>
      </c>
      <c r="J791" t="str">
        <f>VLOOKUP(F791,'[1]BASE DE DADOS'!$A:$C,3,0)</f>
        <v xml:space="preserve">Alex Junior Rodrigues dos santos </v>
      </c>
    </row>
    <row r="792" spans="1:10" x14ac:dyDescent="0.25">
      <c r="A792" s="40" t="s">
        <v>2290</v>
      </c>
      <c r="B792" s="41">
        <v>999881998001908</v>
      </c>
      <c r="C792" s="40" t="s">
        <v>43</v>
      </c>
      <c r="D792" s="40" t="s">
        <v>10</v>
      </c>
      <c r="E792" s="40" t="s">
        <v>2291</v>
      </c>
      <c r="F792" s="40" t="s">
        <v>1165</v>
      </c>
      <c r="G792" s="40" t="s">
        <v>1141</v>
      </c>
      <c r="H792" s="40" t="s">
        <v>2292</v>
      </c>
      <c r="I792" s="37" t="s">
        <v>32</v>
      </c>
      <c r="J792" t="str">
        <f>VLOOKUP(F792,'[1]BASE DE DADOS'!$A:$C,3,0)</f>
        <v>Eduardo Carvalho Vieira dos Santos</v>
      </c>
    </row>
    <row r="793" spans="1:10" x14ac:dyDescent="0.25">
      <c r="A793" s="40" t="s">
        <v>2293</v>
      </c>
      <c r="B793" s="41">
        <v>999881998052015</v>
      </c>
      <c r="C793" s="40" t="s">
        <v>41</v>
      </c>
      <c r="D793" s="40" t="s">
        <v>10</v>
      </c>
      <c r="E793" s="40" t="s">
        <v>2294</v>
      </c>
      <c r="F793" s="40" t="s">
        <v>1140</v>
      </c>
      <c r="G793" s="40" t="s">
        <v>1141</v>
      </c>
      <c r="H793" s="40">
        <v>0</v>
      </c>
      <c r="I793" s="37" t="s">
        <v>33</v>
      </c>
      <c r="J793" t="str">
        <f>VLOOKUP(F793,'[1]BASE DE DADOS'!$A:$C,3,0)</f>
        <v xml:space="preserve">Alex Junior Rodrigues dos santos </v>
      </c>
    </row>
    <row r="794" spans="1:10" x14ac:dyDescent="0.25">
      <c r="A794" s="40" t="s">
        <v>2295</v>
      </c>
      <c r="B794" s="41">
        <v>999881968770214</v>
      </c>
      <c r="C794" s="40" t="s">
        <v>40</v>
      </c>
      <c r="D794" s="40" t="s">
        <v>10</v>
      </c>
      <c r="E794" s="40" t="s">
        <v>2296</v>
      </c>
      <c r="F794" s="40" t="s">
        <v>1165</v>
      </c>
      <c r="G794" s="40" t="s">
        <v>1141</v>
      </c>
      <c r="H794" s="40" t="s">
        <v>2297</v>
      </c>
      <c r="I794" s="37" t="s">
        <v>32</v>
      </c>
      <c r="J794" t="str">
        <f>VLOOKUP(F794,'[1]BASE DE DADOS'!$A:$C,3,0)</f>
        <v>Eduardo Carvalho Vieira dos Santos</v>
      </c>
    </row>
    <row r="795" spans="1:10" x14ac:dyDescent="0.25">
      <c r="A795" s="40" t="s">
        <v>2298</v>
      </c>
      <c r="B795" s="41">
        <v>999882024014272</v>
      </c>
      <c r="C795" s="40" t="s">
        <v>40</v>
      </c>
      <c r="D795" s="40" t="s">
        <v>10</v>
      </c>
      <c r="E795" s="40" t="s">
        <v>2299</v>
      </c>
      <c r="F795" s="40" t="s">
        <v>1154</v>
      </c>
      <c r="G795" s="40" t="s">
        <v>1141</v>
      </c>
      <c r="H795" s="40" t="s">
        <v>761</v>
      </c>
      <c r="I795" s="37" t="s">
        <v>32</v>
      </c>
      <c r="J795" t="str">
        <f>VLOOKUP(F795,'[1]BASE DE DADOS'!$A:$C,3,0)</f>
        <v>Eduardo Carvalho Vieira dos Santos</v>
      </c>
    </row>
    <row r="796" spans="1:10" x14ac:dyDescent="0.25">
      <c r="A796" s="40" t="s">
        <v>2300</v>
      </c>
      <c r="B796" s="41">
        <v>999882042431021</v>
      </c>
      <c r="C796" s="40" t="s">
        <v>42</v>
      </c>
      <c r="D796" s="40" t="s">
        <v>10</v>
      </c>
      <c r="E796" s="40" t="s">
        <v>2301</v>
      </c>
      <c r="F796" s="40" t="s">
        <v>2302</v>
      </c>
      <c r="G796" s="40" t="s">
        <v>1141</v>
      </c>
      <c r="H796" s="40">
        <v>0</v>
      </c>
      <c r="I796" s="37" t="s">
        <v>33</v>
      </c>
      <c r="J796" t="str">
        <f>VLOOKUP(F796,'[1]BASE DE DADOS'!$A:$C,3,0)</f>
        <v xml:space="preserve">Alex Junior Rodrigues dos santos </v>
      </c>
    </row>
    <row r="797" spans="1:10" x14ac:dyDescent="0.25">
      <c r="A797" s="40" t="s">
        <v>2303</v>
      </c>
      <c r="B797" s="41">
        <v>999882016973863</v>
      </c>
      <c r="C797" s="40" t="s">
        <v>43</v>
      </c>
      <c r="D797" s="40" t="s">
        <v>10</v>
      </c>
      <c r="E797" s="40" t="s">
        <v>2304</v>
      </c>
      <c r="F797" s="40" t="s">
        <v>1955</v>
      </c>
      <c r="G797" s="40" t="s">
        <v>1141</v>
      </c>
      <c r="H797" s="40">
        <v>0</v>
      </c>
      <c r="I797" s="37" t="s">
        <v>33</v>
      </c>
      <c r="J797" t="str">
        <f>VLOOKUP(F797,'[1]BASE DE DADOS'!$A:$C,3,0)</f>
        <v xml:space="preserve">Alex Junior Rodrigues dos santos </v>
      </c>
    </row>
    <row r="798" spans="1:10" x14ac:dyDescent="0.25">
      <c r="A798" s="40" t="s">
        <v>2305</v>
      </c>
      <c r="B798" s="41">
        <v>999882014123953</v>
      </c>
      <c r="C798" s="40" t="s">
        <v>40</v>
      </c>
      <c r="D798" s="40" t="s">
        <v>10</v>
      </c>
      <c r="E798" s="40" t="s">
        <v>2306</v>
      </c>
      <c r="F798" s="40" t="s">
        <v>1151</v>
      </c>
      <c r="G798" s="40" t="s">
        <v>1141</v>
      </c>
      <c r="H798" s="40" t="s">
        <v>2307</v>
      </c>
      <c r="I798" s="37" t="s">
        <v>32</v>
      </c>
      <c r="J798" t="str">
        <f>VLOOKUP(F798,'[1]BASE DE DADOS'!$A:$C,3,0)</f>
        <v>Hiago Vinicius Alves Dos Santos Silva</v>
      </c>
    </row>
    <row r="799" spans="1:10" x14ac:dyDescent="0.25">
      <c r="A799" s="40" t="s">
        <v>2308</v>
      </c>
      <c r="B799" s="41">
        <v>999882019498049</v>
      </c>
      <c r="C799" s="40" t="s">
        <v>41</v>
      </c>
      <c r="D799" s="40" t="s">
        <v>10</v>
      </c>
      <c r="E799" s="40" t="s">
        <v>2309</v>
      </c>
      <c r="F799" s="40" t="s">
        <v>1151</v>
      </c>
      <c r="G799" s="40" t="s">
        <v>1141</v>
      </c>
      <c r="H799" s="40">
        <v>0</v>
      </c>
      <c r="I799" s="37" t="s">
        <v>33</v>
      </c>
      <c r="J799" t="str">
        <f>VLOOKUP(F799,'[1]BASE DE DADOS'!$A:$C,3,0)</f>
        <v>Hiago Vinicius Alves Dos Santos Silva</v>
      </c>
    </row>
    <row r="800" spans="1:10" x14ac:dyDescent="0.25">
      <c r="A800" s="40" t="s">
        <v>2310</v>
      </c>
      <c r="B800" s="41">
        <v>999881982070263</v>
      </c>
      <c r="C800" s="40" t="s">
        <v>41</v>
      </c>
      <c r="D800" s="40" t="s">
        <v>10</v>
      </c>
      <c r="E800" s="40" t="s">
        <v>2311</v>
      </c>
      <c r="F800" s="40" t="s">
        <v>1151</v>
      </c>
      <c r="G800" s="40" t="s">
        <v>1141</v>
      </c>
      <c r="H800" s="40">
        <v>0</v>
      </c>
      <c r="I800" s="37" t="s">
        <v>33</v>
      </c>
      <c r="J800" t="str">
        <f>VLOOKUP(F800,'[1]BASE DE DADOS'!$A:$C,3,0)</f>
        <v>Hiago Vinicius Alves Dos Santos Silva</v>
      </c>
    </row>
    <row r="801" spans="1:10" x14ac:dyDescent="0.25">
      <c r="A801" s="40" t="s">
        <v>2312</v>
      </c>
      <c r="B801" s="41">
        <v>999882047492992</v>
      </c>
      <c r="C801" s="40" t="s">
        <v>40</v>
      </c>
      <c r="D801" s="40" t="s">
        <v>10</v>
      </c>
      <c r="E801" s="40" t="s">
        <v>2313</v>
      </c>
      <c r="F801" s="40" t="s">
        <v>1932</v>
      </c>
      <c r="G801" s="40" t="s">
        <v>1141</v>
      </c>
      <c r="H801" s="40" t="s">
        <v>2314</v>
      </c>
      <c r="I801" s="37" t="s">
        <v>32</v>
      </c>
      <c r="J801" t="str">
        <f>VLOOKUP(F801,'[1]BASE DE DADOS'!$A:$C,3,0)</f>
        <v>Cleber Silvestre Almeida e Silva</v>
      </c>
    </row>
    <row r="802" spans="1:10" x14ac:dyDescent="0.25">
      <c r="A802" s="40" t="s">
        <v>2315</v>
      </c>
      <c r="B802" s="41">
        <v>999882007182513</v>
      </c>
      <c r="C802" s="40" t="s">
        <v>40</v>
      </c>
      <c r="D802" s="40" t="s">
        <v>10</v>
      </c>
      <c r="E802" s="40" t="s">
        <v>2316</v>
      </c>
      <c r="F802" s="40" t="s">
        <v>1779</v>
      </c>
      <c r="G802" s="40" t="s">
        <v>1141</v>
      </c>
      <c r="H802" s="40" t="s">
        <v>2317</v>
      </c>
      <c r="I802" s="37" t="s">
        <v>32</v>
      </c>
      <c r="J802" t="str">
        <f>VLOOKUP(F802,'[1]BASE DE DADOS'!$A:$C,3,0)</f>
        <v>Eduardo Carvalho Vieira dos Santos</v>
      </c>
    </row>
    <row r="803" spans="1:10" x14ac:dyDescent="0.25">
      <c r="A803" s="40" t="s">
        <v>2318</v>
      </c>
      <c r="B803" s="41">
        <v>999882033419987</v>
      </c>
      <c r="C803" s="40" t="s">
        <v>40</v>
      </c>
      <c r="D803" s="40" t="s">
        <v>10</v>
      </c>
      <c r="E803" s="40" t="s">
        <v>2319</v>
      </c>
      <c r="F803" s="40" t="s">
        <v>1221</v>
      </c>
      <c r="G803" s="40" t="s">
        <v>1141</v>
      </c>
      <c r="H803" s="40" t="s">
        <v>2320</v>
      </c>
      <c r="I803" s="37" t="s">
        <v>32</v>
      </c>
      <c r="J803" t="str">
        <f>VLOOKUP(F803,'[1]BASE DE DADOS'!$A:$C,3,0)</f>
        <v>Cleber Silvestre Almeida e Silva</v>
      </c>
    </row>
    <row r="804" spans="1:10" x14ac:dyDescent="0.25">
      <c r="A804" s="40" t="s">
        <v>2321</v>
      </c>
      <c r="B804" s="41">
        <v>999882004942403</v>
      </c>
      <c r="C804" s="40" t="s">
        <v>40</v>
      </c>
      <c r="D804" s="40" t="s">
        <v>10</v>
      </c>
      <c r="E804" s="40" t="s">
        <v>2322</v>
      </c>
      <c r="F804" s="40" t="s">
        <v>1236</v>
      </c>
      <c r="G804" s="40" t="s">
        <v>1141</v>
      </c>
      <c r="H804" s="40">
        <v>0</v>
      </c>
      <c r="I804" s="37" t="s">
        <v>33</v>
      </c>
      <c r="J804" t="str">
        <f>VLOOKUP(F804,'[1]BASE DE DADOS'!$A:$C,3,0)</f>
        <v>Eduardo Carvalho Vieira dos Santos</v>
      </c>
    </row>
    <row r="805" spans="1:10" x14ac:dyDescent="0.25">
      <c r="A805" s="40" t="s">
        <v>2323</v>
      </c>
      <c r="B805" s="41">
        <v>999881969740822</v>
      </c>
      <c r="C805" s="40" t="s">
        <v>40</v>
      </c>
      <c r="D805" s="40" t="s">
        <v>10</v>
      </c>
      <c r="E805" s="40" t="s">
        <v>2324</v>
      </c>
      <c r="F805" s="40" t="s">
        <v>2064</v>
      </c>
      <c r="G805" s="40" t="s">
        <v>1141</v>
      </c>
      <c r="H805" s="40" t="s">
        <v>2320</v>
      </c>
      <c r="I805" s="37" t="s">
        <v>32</v>
      </c>
      <c r="J805" t="str">
        <f>VLOOKUP(F805,'[1]BASE DE DADOS'!$A:$C,3,0)</f>
        <v>Eduardo Carvalho Vieira dos Santos</v>
      </c>
    </row>
    <row r="806" spans="1:10" x14ac:dyDescent="0.25">
      <c r="A806" s="40" t="s">
        <v>2325</v>
      </c>
      <c r="B806" s="41">
        <v>999882030134182</v>
      </c>
      <c r="C806" s="40" t="s">
        <v>40</v>
      </c>
      <c r="D806" s="40" t="s">
        <v>10</v>
      </c>
      <c r="E806" s="40" t="s">
        <v>2326</v>
      </c>
      <c r="F806" s="40" t="s">
        <v>1151</v>
      </c>
      <c r="G806" s="40" t="s">
        <v>1141</v>
      </c>
      <c r="H806" s="40" t="s">
        <v>2327</v>
      </c>
      <c r="I806" s="37" t="s">
        <v>32</v>
      </c>
      <c r="J806" t="str">
        <f>VLOOKUP(F806,'[1]BASE DE DADOS'!$A:$C,3,0)</f>
        <v>Hiago Vinicius Alves Dos Santos Silva</v>
      </c>
    </row>
    <row r="807" spans="1:10" x14ac:dyDescent="0.25">
      <c r="A807" s="40" t="s">
        <v>2328</v>
      </c>
      <c r="B807" s="41">
        <v>999881995201024</v>
      </c>
      <c r="C807" s="40" t="s">
        <v>40</v>
      </c>
      <c r="D807" s="40" t="s">
        <v>10</v>
      </c>
      <c r="E807" s="40" t="s">
        <v>2329</v>
      </c>
      <c r="F807" s="40" t="s">
        <v>1184</v>
      </c>
      <c r="G807" s="40" t="s">
        <v>1141</v>
      </c>
      <c r="H807" s="40">
        <v>0</v>
      </c>
      <c r="I807" s="37" t="s">
        <v>33</v>
      </c>
      <c r="J807" t="str">
        <f>VLOOKUP(F807,'[1]BASE DE DADOS'!$A:$C,3,0)</f>
        <v>Cleber Silvestre Almeida e Silva</v>
      </c>
    </row>
    <row r="808" spans="1:10" x14ac:dyDescent="0.25">
      <c r="A808" s="40" t="s">
        <v>2330</v>
      </c>
      <c r="B808" s="41">
        <v>999882019959277</v>
      </c>
      <c r="C808" s="40" t="s">
        <v>43</v>
      </c>
      <c r="D808" s="40" t="s">
        <v>10</v>
      </c>
      <c r="E808" s="40" t="s">
        <v>2331</v>
      </c>
      <c r="F808" s="40" t="s">
        <v>1529</v>
      </c>
      <c r="G808" s="40" t="s">
        <v>1141</v>
      </c>
      <c r="H808" s="40">
        <v>0</v>
      </c>
      <c r="I808" s="37" t="s">
        <v>33</v>
      </c>
      <c r="J808" t="str">
        <f>VLOOKUP(F808,'[1]BASE DE DADOS'!$A:$C,3,0)</f>
        <v>Cleber Silvestre Almeida e Silva</v>
      </c>
    </row>
    <row r="809" spans="1:10" x14ac:dyDescent="0.25">
      <c r="A809" s="40" t="s">
        <v>2332</v>
      </c>
      <c r="B809" s="41">
        <v>999882028451694</v>
      </c>
      <c r="C809" s="40" t="s">
        <v>42</v>
      </c>
      <c r="D809" s="40" t="s">
        <v>10</v>
      </c>
      <c r="E809" s="40" t="s">
        <v>2333</v>
      </c>
      <c r="F809" s="40" t="s">
        <v>1779</v>
      </c>
      <c r="G809" s="40" t="s">
        <v>1141</v>
      </c>
      <c r="H809" s="40" t="s">
        <v>2334</v>
      </c>
      <c r="I809" s="37" t="s">
        <v>32</v>
      </c>
      <c r="J809" t="str">
        <f>VLOOKUP(F809,'[1]BASE DE DADOS'!$A:$C,3,0)</f>
        <v>Eduardo Carvalho Vieira dos Santos</v>
      </c>
    </row>
    <row r="810" spans="1:10" x14ac:dyDescent="0.25">
      <c r="A810" s="40" t="s">
        <v>2335</v>
      </c>
      <c r="B810" s="41">
        <v>999881995973030</v>
      </c>
      <c r="C810" s="40" t="s">
        <v>41</v>
      </c>
      <c r="D810" s="40" t="s">
        <v>10</v>
      </c>
      <c r="E810" s="40" t="s">
        <v>2336</v>
      </c>
      <c r="F810" s="40" t="s">
        <v>1578</v>
      </c>
      <c r="G810" s="40" t="s">
        <v>1141</v>
      </c>
      <c r="H810" s="40">
        <v>0</v>
      </c>
      <c r="I810" s="37" t="s">
        <v>33</v>
      </c>
      <c r="J810" t="str">
        <f>VLOOKUP(F810,'[1]BASE DE DADOS'!$A:$C,3,0)</f>
        <v>Hiago Vinicius Alves Dos Santos Silva</v>
      </c>
    </row>
    <row r="811" spans="1:10" x14ac:dyDescent="0.25">
      <c r="A811" s="40" t="s">
        <v>2337</v>
      </c>
      <c r="B811" s="41">
        <v>999881986225641</v>
      </c>
      <c r="C811" s="40" t="s">
        <v>43</v>
      </c>
      <c r="D811" s="40" t="s">
        <v>10</v>
      </c>
      <c r="E811" s="40" t="s">
        <v>2338</v>
      </c>
      <c r="F811" s="40" t="s">
        <v>1232</v>
      </c>
      <c r="G811" s="40" t="s">
        <v>1141</v>
      </c>
      <c r="H811" s="40">
        <v>0</v>
      </c>
      <c r="I811" s="37" t="s">
        <v>33</v>
      </c>
      <c r="J811" t="str">
        <f>VLOOKUP(F811,'[1]BASE DE DADOS'!$A:$C,3,0)</f>
        <v>Eduardo Carvalho Vieira dos Santos</v>
      </c>
    </row>
    <row r="812" spans="1:10" x14ac:dyDescent="0.25">
      <c r="A812" s="40" t="s">
        <v>2339</v>
      </c>
      <c r="B812" s="41">
        <v>999882035242979</v>
      </c>
      <c r="C812" s="40" t="s">
        <v>41</v>
      </c>
      <c r="D812" s="40" t="s">
        <v>10</v>
      </c>
      <c r="E812" s="40" t="s">
        <v>2340</v>
      </c>
      <c r="F812" s="40" t="s">
        <v>1263</v>
      </c>
      <c r="G812" s="40" t="s">
        <v>1141</v>
      </c>
      <c r="H812" s="40" t="s">
        <v>2341</v>
      </c>
      <c r="I812" s="37" t="s">
        <v>32</v>
      </c>
      <c r="J812" t="str">
        <f>VLOOKUP(F812,'[1]BASE DE DADOS'!$A:$C,3,0)</f>
        <v>Eduardo Carvalho Vieira dos Santos</v>
      </c>
    </row>
    <row r="813" spans="1:10" x14ac:dyDescent="0.25">
      <c r="A813" s="40" t="s">
        <v>2342</v>
      </c>
      <c r="B813" s="41">
        <v>999881949472997</v>
      </c>
      <c r="C813" s="40" t="s">
        <v>42</v>
      </c>
      <c r="D813" s="40" t="s">
        <v>10</v>
      </c>
      <c r="E813" s="40" t="s">
        <v>2343</v>
      </c>
      <c r="F813" s="40" t="s">
        <v>1140</v>
      </c>
      <c r="G813" s="40" t="s">
        <v>1141</v>
      </c>
      <c r="H813" s="40">
        <v>0</v>
      </c>
      <c r="I813" s="37" t="s">
        <v>33</v>
      </c>
      <c r="J813" t="str">
        <f>VLOOKUP(F813,'[1]BASE DE DADOS'!$A:$C,3,0)</f>
        <v xml:space="preserve">Alex Junior Rodrigues dos santos </v>
      </c>
    </row>
    <row r="814" spans="1:10" x14ac:dyDescent="0.25">
      <c r="A814" s="40" t="s">
        <v>2344</v>
      </c>
      <c r="B814" s="41">
        <v>999881998221787</v>
      </c>
      <c r="C814" s="40" t="s">
        <v>43</v>
      </c>
      <c r="D814" s="40" t="s">
        <v>10</v>
      </c>
      <c r="E814" s="40" t="s">
        <v>2345</v>
      </c>
      <c r="F814" s="40" t="s">
        <v>1232</v>
      </c>
      <c r="G814" s="40" t="s">
        <v>1141</v>
      </c>
      <c r="H814" s="40">
        <v>0</v>
      </c>
      <c r="I814" s="37" t="s">
        <v>33</v>
      </c>
      <c r="J814" t="str">
        <f>VLOOKUP(F814,'[1]BASE DE DADOS'!$A:$C,3,0)</f>
        <v>Eduardo Carvalho Vieira dos Santos</v>
      </c>
    </row>
    <row r="815" spans="1:10" x14ac:dyDescent="0.25">
      <c r="A815" s="40" t="s">
        <v>2346</v>
      </c>
      <c r="B815" s="41">
        <v>999882027883856</v>
      </c>
      <c r="C815" s="40" t="s">
        <v>40</v>
      </c>
      <c r="D815" s="40" t="s">
        <v>10</v>
      </c>
      <c r="E815" s="40" t="s">
        <v>2347</v>
      </c>
      <c r="F815" s="40" t="s">
        <v>1270</v>
      </c>
      <c r="G815" s="40" t="s">
        <v>1141</v>
      </c>
      <c r="H815" s="40">
        <v>0</v>
      </c>
      <c r="I815" s="37" t="s">
        <v>33</v>
      </c>
      <c r="J815" t="str">
        <f>VLOOKUP(F815,'[1]BASE DE DADOS'!$A:$C,3,0)</f>
        <v xml:space="preserve">Alex Junior Rodrigues dos santos </v>
      </c>
    </row>
    <row r="816" spans="1:10" x14ac:dyDescent="0.25">
      <c r="A816" s="40" t="s">
        <v>2348</v>
      </c>
      <c r="B816" s="41">
        <v>999881899198179</v>
      </c>
      <c r="C816" s="40" t="s">
        <v>43</v>
      </c>
      <c r="D816" s="40" t="s">
        <v>10</v>
      </c>
      <c r="E816" s="40" t="s">
        <v>2349</v>
      </c>
      <c r="F816" s="40" t="s">
        <v>1247</v>
      </c>
      <c r="G816" s="40" t="s">
        <v>1141</v>
      </c>
      <c r="H816" s="40">
        <v>0</v>
      </c>
      <c r="I816" s="37" t="s">
        <v>33</v>
      </c>
      <c r="J816" t="str">
        <f>VLOOKUP(F816,'[1]BASE DE DADOS'!$A:$C,3,0)</f>
        <v>Cleber Silvestre Almeida e Silva</v>
      </c>
    </row>
    <row r="817" spans="1:10" x14ac:dyDescent="0.25">
      <c r="A817" s="40" t="s">
        <v>2350</v>
      </c>
      <c r="B817" s="41">
        <v>999882015566058</v>
      </c>
      <c r="C817" s="40" t="s">
        <v>43</v>
      </c>
      <c r="D817" s="40" t="s">
        <v>10</v>
      </c>
      <c r="E817" s="40" t="s">
        <v>2351</v>
      </c>
      <c r="F817" s="40" t="s">
        <v>1282</v>
      </c>
      <c r="G817" s="40" t="s">
        <v>1141</v>
      </c>
      <c r="H817" s="40">
        <v>0</v>
      </c>
      <c r="I817" s="37" t="s">
        <v>33</v>
      </c>
      <c r="J817" t="str">
        <f>VLOOKUP(F817,'[1]BASE DE DADOS'!$A:$C,3,0)</f>
        <v>Hiago Vinicius Alves Dos Santos Silva</v>
      </c>
    </row>
    <row r="818" spans="1:10" x14ac:dyDescent="0.25">
      <c r="A818" s="40" t="s">
        <v>2352</v>
      </c>
      <c r="B818" s="41">
        <v>999882047688387</v>
      </c>
      <c r="C818" s="40" t="s">
        <v>41</v>
      </c>
      <c r="D818" s="40" t="s">
        <v>10</v>
      </c>
      <c r="E818" s="40" t="s">
        <v>2353</v>
      </c>
      <c r="F818" s="40" t="s">
        <v>2354</v>
      </c>
      <c r="G818" s="40" t="s">
        <v>1141</v>
      </c>
      <c r="H818" s="40" t="s">
        <v>2355</v>
      </c>
      <c r="I818" s="37" t="s">
        <v>32</v>
      </c>
      <c r="J818" t="str">
        <f>VLOOKUP(F818,'[1]BASE DE DADOS'!$A:$C,3,0)</f>
        <v>Cleber Silvestre Almeida e Silva</v>
      </c>
    </row>
    <row r="819" spans="1:10" x14ac:dyDescent="0.25">
      <c r="A819" s="40" t="s">
        <v>2356</v>
      </c>
      <c r="B819" s="41">
        <v>999881985376859</v>
      </c>
      <c r="C819" s="40" t="s">
        <v>40</v>
      </c>
      <c r="D819" s="40" t="s">
        <v>10</v>
      </c>
      <c r="E819" s="40" t="s">
        <v>2357</v>
      </c>
      <c r="F819" s="40" t="s">
        <v>1144</v>
      </c>
      <c r="G819" s="40" t="s">
        <v>1141</v>
      </c>
      <c r="H819" s="40">
        <v>0</v>
      </c>
      <c r="I819" s="37" t="s">
        <v>33</v>
      </c>
      <c r="J819" t="str">
        <f>VLOOKUP(F819,'[1]BASE DE DADOS'!$A:$C,3,0)</f>
        <v xml:space="preserve">Alex Junior Rodrigues dos santos </v>
      </c>
    </row>
    <row r="820" spans="1:10" x14ac:dyDescent="0.25">
      <c r="A820" s="40" t="s">
        <v>2358</v>
      </c>
      <c r="B820" s="41">
        <v>999882023785805</v>
      </c>
      <c r="C820" s="40" t="s">
        <v>40</v>
      </c>
      <c r="D820" s="40" t="s">
        <v>10</v>
      </c>
      <c r="E820" s="40" t="s">
        <v>2359</v>
      </c>
      <c r="F820" s="40" t="s">
        <v>1144</v>
      </c>
      <c r="G820" s="40" t="s">
        <v>1141</v>
      </c>
      <c r="H820" s="40">
        <v>0</v>
      </c>
      <c r="I820" s="37" t="s">
        <v>33</v>
      </c>
      <c r="J820" t="str">
        <f>VLOOKUP(F820,'[1]BASE DE DADOS'!$A:$C,3,0)</f>
        <v xml:space="preserve">Alex Junior Rodrigues dos santos </v>
      </c>
    </row>
    <row r="821" spans="1:10" x14ac:dyDescent="0.25">
      <c r="A821" s="40" t="s">
        <v>2360</v>
      </c>
      <c r="B821" s="41">
        <v>999882007527062</v>
      </c>
      <c r="C821" s="40" t="s">
        <v>41</v>
      </c>
      <c r="D821" s="40" t="s">
        <v>10</v>
      </c>
      <c r="E821" s="40" t="s">
        <v>2361</v>
      </c>
      <c r="F821" s="40" t="s">
        <v>1503</v>
      </c>
      <c r="G821" s="40" t="s">
        <v>1141</v>
      </c>
      <c r="H821" s="40" t="s">
        <v>2362</v>
      </c>
      <c r="I821" s="37" t="s">
        <v>32</v>
      </c>
      <c r="J821" t="str">
        <f>VLOOKUP(F821,'[1]BASE DE DADOS'!$A:$C,3,0)</f>
        <v>Cleber Silvestre Almeida e Silva</v>
      </c>
    </row>
    <row r="822" spans="1:10" x14ac:dyDescent="0.25">
      <c r="A822" s="40" t="s">
        <v>2363</v>
      </c>
      <c r="B822" s="41">
        <v>999881898193144</v>
      </c>
      <c r="C822" s="40" t="s">
        <v>43</v>
      </c>
      <c r="D822" s="40" t="s">
        <v>10</v>
      </c>
      <c r="E822" s="40" t="s">
        <v>2364</v>
      </c>
      <c r="F822" s="40" t="s">
        <v>1348</v>
      </c>
      <c r="G822" s="40" t="s">
        <v>1141</v>
      </c>
      <c r="H822" s="40">
        <v>0</v>
      </c>
      <c r="I822" s="37" t="s">
        <v>33</v>
      </c>
      <c r="J822" t="str">
        <f>VLOOKUP(F822,'[1]BASE DE DADOS'!$A:$C,3,0)</f>
        <v>Eduardo Carvalho Vieira dos Santos</v>
      </c>
    </row>
    <row r="823" spans="1:10" x14ac:dyDescent="0.25">
      <c r="A823" s="40" t="s">
        <v>2365</v>
      </c>
      <c r="B823" s="41">
        <v>999881945876113</v>
      </c>
      <c r="C823" s="40" t="s">
        <v>42</v>
      </c>
      <c r="D823" s="40" t="s">
        <v>10</v>
      </c>
      <c r="E823" s="40" t="s">
        <v>2366</v>
      </c>
      <c r="F823" s="40" t="s">
        <v>1184</v>
      </c>
      <c r="G823" s="40" t="s">
        <v>1141</v>
      </c>
      <c r="H823" s="40" t="s">
        <v>2367</v>
      </c>
      <c r="I823" s="37" t="s">
        <v>32</v>
      </c>
      <c r="J823" t="str">
        <f>VLOOKUP(F823,'[1]BASE DE DADOS'!$A:$C,3,0)</f>
        <v>Cleber Silvestre Almeida e Silva</v>
      </c>
    </row>
    <row r="824" spans="1:10" x14ac:dyDescent="0.25">
      <c r="A824" s="40" t="s">
        <v>2368</v>
      </c>
      <c r="B824" s="41">
        <v>999882029750845</v>
      </c>
      <c r="C824" s="40" t="s">
        <v>41</v>
      </c>
      <c r="D824" s="40" t="s">
        <v>10</v>
      </c>
      <c r="E824" s="40" t="s">
        <v>2369</v>
      </c>
      <c r="F824" s="40" t="s">
        <v>2370</v>
      </c>
      <c r="G824" s="40" t="s">
        <v>1141</v>
      </c>
      <c r="H824" s="40">
        <v>0</v>
      </c>
      <c r="I824" s="37" t="s">
        <v>33</v>
      </c>
      <c r="J824" t="str">
        <f>VLOOKUP(F824,'[1]BASE DE DADOS'!$A:$C,3,0)</f>
        <v xml:space="preserve">Alex Junior Rodrigues dos santos </v>
      </c>
    </row>
    <row r="825" spans="1:10" x14ac:dyDescent="0.25">
      <c r="A825" s="40" t="s">
        <v>2371</v>
      </c>
      <c r="B825" s="41">
        <v>999881996964569</v>
      </c>
      <c r="C825" s="40" t="s">
        <v>41</v>
      </c>
      <c r="D825" s="40" t="s">
        <v>10</v>
      </c>
      <c r="E825" s="40" t="s">
        <v>2372</v>
      </c>
      <c r="F825" s="40" t="s">
        <v>1154</v>
      </c>
      <c r="G825" s="40" t="s">
        <v>1141</v>
      </c>
      <c r="H825" s="40">
        <v>0</v>
      </c>
      <c r="I825" s="37" t="s">
        <v>33</v>
      </c>
      <c r="J825" t="str">
        <f>VLOOKUP(F825,'[1]BASE DE DADOS'!$A:$C,3,0)</f>
        <v>Eduardo Carvalho Vieira dos Santos</v>
      </c>
    </row>
    <row r="826" spans="1:10" x14ac:dyDescent="0.25">
      <c r="A826" s="40" t="s">
        <v>2373</v>
      </c>
      <c r="B826" s="41">
        <v>999881971851376</v>
      </c>
      <c r="C826" s="40" t="s">
        <v>43</v>
      </c>
      <c r="D826" s="40" t="s">
        <v>10</v>
      </c>
      <c r="E826" s="40" t="s">
        <v>2374</v>
      </c>
      <c r="F826" s="40" t="s">
        <v>1270</v>
      </c>
      <c r="G826" s="40" t="s">
        <v>1141</v>
      </c>
      <c r="H826" s="40">
        <v>0</v>
      </c>
      <c r="I826" s="37" t="s">
        <v>33</v>
      </c>
      <c r="J826" t="str">
        <f>VLOOKUP(F826,'[1]BASE DE DADOS'!$A:$C,3,0)</f>
        <v xml:space="preserve">Alex Junior Rodrigues dos santos </v>
      </c>
    </row>
    <row r="827" spans="1:10" x14ac:dyDescent="0.25">
      <c r="A827" s="40" t="s">
        <v>2375</v>
      </c>
      <c r="B827" s="41">
        <v>999882007270389</v>
      </c>
      <c r="C827" s="40" t="s">
        <v>40</v>
      </c>
      <c r="D827" s="40" t="s">
        <v>10</v>
      </c>
      <c r="E827" s="40" t="s">
        <v>1546</v>
      </c>
      <c r="F827" s="40" t="s">
        <v>1684</v>
      </c>
      <c r="G827" s="40" t="s">
        <v>1141</v>
      </c>
      <c r="H827" s="40">
        <v>0</v>
      </c>
      <c r="I827" s="37" t="s">
        <v>33</v>
      </c>
      <c r="J827" t="str">
        <f>VLOOKUP(F827,'[1]BASE DE DADOS'!$A:$C,3,0)</f>
        <v>Eduardo Carvalho Vieira dos Santos</v>
      </c>
    </row>
    <row r="828" spans="1:10" x14ac:dyDescent="0.25">
      <c r="A828" s="40" t="s">
        <v>2376</v>
      </c>
      <c r="B828" s="41">
        <v>999882019001570</v>
      </c>
      <c r="C828" s="40" t="s">
        <v>43</v>
      </c>
      <c r="D828" s="40" t="s">
        <v>10</v>
      </c>
      <c r="E828" s="40" t="s">
        <v>2377</v>
      </c>
      <c r="F828" s="40" t="s">
        <v>1217</v>
      </c>
      <c r="G828" s="40" t="s">
        <v>1141</v>
      </c>
      <c r="H828" s="40">
        <v>0</v>
      </c>
      <c r="I828" s="37" t="s">
        <v>33</v>
      </c>
      <c r="J828" t="str">
        <f>VLOOKUP(F828,'[1]BASE DE DADOS'!$A:$C,3,0)</f>
        <v xml:space="preserve">Alex Junior Rodrigues dos santos </v>
      </c>
    </row>
    <row r="829" spans="1:10" x14ac:dyDescent="0.25">
      <c r="A829" s="40" t="s">
        <v>2378</v>
      </c>
      <c r="B829" s="41">
        <v>999881947116342</v>
      </c>
      <c r="C829" s="40" t="s">
        <v>40</v>
      </c>
      <c r="D829" s="40" t="s">
        <v>10</v>
      </c>
      <c r="E829" s="40" t="s">
        <v>2379</v>
      </c>
      <c r="F829" s="40" t="s">
        <v>1243</v>
      </c>
      <c r="G829" s="40" t="s">
        <v>1141</v>
      </c>
      <c r="H829" s="40">
        <v>0</v>
      </c>
      <c r="I829" s="37" t="s">
        <v>33</v>
      </c>
      <c r="J829" t="str">
        <f>VLOOKUP(F829,'[1]BASE DE DADOS'!$A:$C,3,0)</f>
        <v>Eduardo Carvalho Vieira dos Santos</v>
      </c>
    </row>
    <row r="830" spans="1:10" x14ac:dyDescent="0.25">
      <c r="A830" s="40" t="s">
        <v>2380</v>
      </c>
      <c r="B830" s="41">
        <v>999882000326281</v>
      </c>
      <c r="C830" s="40" t="s">
        <v>42</v>
      </c>
      <c r="D830" s="40" t="s">
        <v>10</v>
      </c>
      <c r="E830" s="40" t="s">
        <v>2381</v>
      </c>
      <c r="F830" s="40" t="s">
        <v>1140</v>
      </c>
      <c r="G830" s="40" t="s">
        <v>1141</v>
      </c>
      <c r="H830" s="40">
        <v>0</v>
      </c>
      <c r="I830" s="37" t="s">
        <v>33</v>
      </c>
      <c r="J830" t="str">
        <f>VLOOKUP(F830,'[1]BASE DE DADOS'!$A:$C,3,0)</f>
        <v xml:space="preserve">Alex Junior Rodrigues dos santos </v>
      </c>
    </row>
    <row r="831" spans="1:10" x14ac:dyDescent="0.25">
      <c r="A831" s="40" t="s">
        <v>2382</v>
      </c>
      <c r="B831" s="41">
        <v>999881999470574</v>
      </c>
      <c r="C831" s="40" t="s">
        <v>40</v>
      </c>
      <c r="D831" s="40" t="s">
        <v>10</v>
      </c>
      <c r="E831" s="40" t="s">
        <v>2383</v>
      </c>
      <c r="F831" s="40" t="s">
        <v>1184</v>
      </c>
      <c r="G831" s="40" t="s">
        <v>1141</v>
      </c>
      <c r="H831" s="40">
        <v>0</v>
      </c>
      <c r="I831" s="37" t="s">
        <v>33</v>
      </c>
      <c r="J831" t="str">
        <f>VLOOKUP(F831,'[1]BASE DE DADOS'!$A:$C,3,0)</f>
        <v>Cleber Silvestre Almeida e Silva</v>
      </c>
    </row>
    <row r="832" spans="1:10" x14ac:dyDescent="0.25">
      <c r="A832" s="40" t="s">
        <v>2384</v>
      </c>
      <c r="B832" s="41">
        <v>999882012321587</v>
      </c>
      <c r="C832" s="40" t="s">
        <v>41</v>
      </c>
      <c r="D832" s="40" t="s">
        <v>10</v>
      </c>
      <c r="E832" s="40" t="s">
        <v>2385</v>
      </c>
      <c r="F832" s="40" t="s">
        <v>1144</v>
      </c>
      <c r="G832" s="40" t="s">
        <v>1141</v>
      </c>
      <c r="H832" s="40">
        <v>0</v>
      </c>
      <c r="I832" s="37" t="s">
        <v>33</v>
      </c>
      <c r="J832" t="str">
        <f>VLOOKUP(F832,'[1]BASE DE DADOS'!$A:$C,3,0)</f>
        <v xml:space="preserve">Alex Junior Rodrigues dos santos </v>
      </c>
    </row>
    <row r="833" spans="1:10" x14ac:dyDescent="0.25">
      <c r="A833" s="40" t="s">
        <v>2386</v>
      </c>
      <c r="B833" s="41">
        <v>999881945345075</v>
      </c>
      <c r="C833" s="40" t="s">
        <v>42</v>
      </c>
      <c r="D833" s="40" t="s">
        <v>10</v>
      </c>
      <c r="E833" s="40" t="s">
        <v>2387</v>
      </c>
      <c r="F833" s="40" t="s">
        <v>1140</v>
      </c>
      <c r="G833" s="40" t="s">
        <v>1141</v>
      </c>
      <c r="H833" s="40">
        <v>0</v>
      </c>
      <c r="I833" s="37" t="s">
        <v>33</v>
      </c>
      <c r="J833" t="str">
        <f>VLOOKUP(F833,'[1]BASE DE DADOS'!$A:$C,3,0)</f>
        <v xml:space="preserve">Alex Junior Rodrigues dos santos </v>
      </c>
    </row>
    <row r="834" spans="1:10" x14ac:dyDescent="0.25">
      <c r="A834" s="40" t="s">
        <v>2388</v>
      </c>
      <c r="B834" s="41">
        <v>999882016531517</v>
      </c>
      <c r="C834" s="40" t="s">
        <v>43</v>
      </c>
      <c r="D834" s="40" t="s">
        <v>10</v>
      </c>
      <c r="E834" s="40" t="s">
        <v>2389</v>
      </c>
      <c r="F834" s="40" t="s">
        <v>1675</v>
      </c>
      <c r="G834" s="40" t="s">
        <v>1141</v>
      </c>
      <c r="H834" s="40" t="s">
        <v>2390</v>
      </c>
      <c r="I834" s="37" t="s">
        <v>32</v>
      </c>
      <c r="J834" t="str">
        <f>VLOOKUP(F834,'[1]BASE DE DADOS'!$A:$C,3,0)</f>
        <v>Cleber Silvestre Almeida e Silva</v>
      </c>
    </row>
    <row r="835" spans="1:10" x14ac:dyDescent="0.25">
      <c r="A835" s="40" t="s">
        <v>2391</v>
      </c>
      <c r="B835" s="41">
        <v>999881989540507</v>
      </c>
      <c r="C835" s="40" t="s">
        <v>42</v>
      </c>
      <c r="D835" s="40" t="s">
        <v>10</v>
      </c>
      <c r="E835" s="40" t="s">
        <v>2392</v>
      </c>
      <c r="F835" s="40" t="s">
        <v>1140</v>
      </c>
      <c r="G835" s="40" t="s">
        <v>1141</v>
      </c>
      <c r="H835" s="40">
        <v>0</v>
      </c>
      <c r="I835" s="37" t="s">
        <v>33</v>
      </c>
      <c r="J835" t="str">
        <f>VLOOKUP(F835,'[1]BASE DE DADOS'!$A:$C,3,0)</f>
        <v xml:space="preserve">Alex Junior Rodrigues dos santos </v>
      </c>
    </row>
    <row r="836" spans="1:10" x14ac:dyDescent="0.25">
      <c r="A836" s="40" t="s">
        <v>2393</v>
      </c>
      <c r="B836" s="41">
        <v>999882022397688</v>
      </c>
      <c r="C836" s="40" t="s">
        <v>43</v>
      </c>
      <c r="D836" s="40" t="s">
        <v>10</v>
      </c>
      <c r="E836" s="40" t="s">
        <v>2394</v>
      </c>
      <c r="F836" s="40" t="s">
        <v>1408</v>
      </c>
      <c r="G836" s="40" t="s">
        <v>1141</v>
      </c>
      <c r="H836" s="40">
        <v>0</v>
      </c>
      <c r="I836" s="37" t="s">
        <v>33</v>
      </c>
      <c r="J836" t="str">
        <f>VLOOKUP(F836,'[1]BASE DE DADOS'!$A:$C,3,0)</f>
        <v>Hiago Vinicius Alves Dos Santos Silva</v>
      </c>
    </row>
    <row r="837" spans="1:10" x14ac:dyDescent="0.25">
      <c r="A837" s="40" t="s">
        <v>2395</v>
      </c>
      <c r="B837" s="41">
        <v>999882030679235</v>
      </c>
      <c r="C837" s="40" t="s">
        <v>43</v>
      </c>
      <c r="D837" s="40" t="s">
        <v>10</v>
      </c>
      <c r="E837" s="40" t="s">
        <v>2396</v>
      </c>
      <c r="F837" s="40" t="s">
        <v>1247</v>
      </c>
      <c r="G837" s="40" t="s">
        <v>1141</v>
      </c>
      <c r="H837" s="40">
        <v>0</v>
      </c>
      <c r="I837" s="37" t="s">
        <v>33</v>
      </c>
      <c r="J837" t="str">
        <f>VLOOKUP(F837,'[1]BASE DE DADOS'!$A:$C,3,0)</f>
        <v>Cleber Silvestre Almeida e Silva</v>
      </c>
    </row>
    <row r="838" spans="1:10" x14ac:dyDescent="0.25">
      <c r="A838" s="40" t="s">
        <v>2397</v>
      </c>
      <c r="B838" s="41">
        <v>999882015917530</v>
      </c>
      <c r="C838" s="40" t="s">
        <v>40</v>
      </c>
      <c r="D838" s="40" t="s">
        <v>10</v>
      </c>
      <c r="E838" s="40" t="s">
        <v>2398</v>
      </c>
      <c r="F838" s="40" t="s">
        <v>1144</v>
      </c>
      <c r="G838" s="40" t="s">
        <v>1141</v>
      </c>
      <c r="H838" s="40">
        <v>0</v>
      </c>
      <c r="I838" s="37" t="s">
        <v>33</v>
      </c>
      <c r="J838" t="str">
        <f>VLOOKUP(F838,'[1]BASE DE DADOS'!$A:$C,3,0)</f>
        <v xml:space="preserve">Alex Junior Rodrigues dos santos </v>
      </c>
    </row>
    <row r="839" spans="1:10" x14ac:dyDescent="0.25">
      <c r="A839" s="40" t="s">
        <v>2399</v>
      </c>
      <c r="B839" s="41">
        <v>999881988476750</v>
      </c>
      <c r="C839" s="40" t="s">
        <v>43</v>
      </c>
      <c r="D839" s="40" t="s">
        <v>10</v>
      </c>
      <c r="E839" s="40" t="s">
        <v>2400</v>
      </c>
      <c r="F839" s="40" t="s">
        <v>1765</v>
      </c>
      <c r="G839" s="40" t="s">
        <v>1141</v>
      </c>
      <c r="H839" s="40">
        <v>0</v>
      </c>
      <c r="I839" s="37" t="s">
        <v>33</v>
      </c>
      <c r="J839" t="str">
        <f>VLOOKUP(F839,'[1]BASE DE DADOS'!$A:$C,3,0)</f>
        <v xml:space="preserve">Alex Junior Rodrigues dos santos </v>
      </c>
    </row>
    <row r="840" spans="1:10" x14ac:dyDescent="0.25">
      <c r="A840" s="40" t="s">
        <v>2401</v>
      </c>
      <c r="B840" s="41">
        <v>999882041895559</v>
      </c>
      <c r="C840" s="40" t="s">
        <v>40</v>
      </c>
      <c r="D840" s="40" t="s">
        <v>10</v>
      </c>
      <c r="E840" s="40" t="s">
        <v>2402</v>
      </c>
      <c r="F840" s="40" t="s">
        <v>1468</v>
      </c>
      <c r="G840" s="40" t="s">
        <v>1141</v>
      </c>
      <c r="H840" s="40" t="s">
        <v>2403</v>
      </c>
      <c r="I840" s="37" t="s">
        <v>32</v>
      </c>
      <c r="J840" t="str">
        <f>VLOOKUP(F840,'[1]BASE DE DADOS'!$A:$C,3,0)</f>
        <v>Eduardo Carvalho Vieira dos Santos</v>
      </c>
    </row>
    <row r="841" spans="1:10" x14ac:dyDescent="0.25">
      <c r="A841" s="40" t="s">
        <v>2404</v>
      </c>
      <c r="B841" s="41">
        <v>999882029514400</v>
      </c>
      <c r="C841" s="40" t="s">
        <v>40</v>
      </c>
      <c r="D841" s="40" t="s">
        <v>10</v>
      </c>
      <c r="E841" s="40" t="s">
        <v>2405</v>
      </c>
      <c r="F841" s="40" t="s">
        <v>1348</v>
      </c>
      <c r="G841" s="40" t="s">
        <v>1141</v>
      </c>
      <c r="H841" s="40">
        <v>0</v>
      </c>
      <c r="I841" s="37" t="s">
        <v>33</v>
      </c>
      <c r="J841" t="str">
        <f>VLOOKUP(F841,'[1]BASE DE DADOS'!$A:$C,3,0)</f>
        <v>Eduardo Carvalho Vieira dos Santos</v>
      </c>
    </row>
    <row r="842" spans="1:10" x14ac:dyDescent="0.25">
      <c r="A842" s="40" t="s">
        <v>2406</v>
      </c>
      <c r="B842" s="41">
        <v>999882018622146</v>
      </c>
      <c r="C842" s="40" t="s">
        <v>40</v>
      </c>
      <c r="D842" s="40" t="s">
        <v>10</v>
      </c>
      <c r="E842" s="40" t="s">
        <v>2407</v>
      </c>
      <c r="F842" s="40" t="s">
        <v>1779</v>
      </c>
      <c r="G842" s="40" t="s">
        <v>1141</v>
      </c>
      <c r="H842" s="40" t="s">
        <v>1780</v>
      </c>
      <c r="I842" s="37" t="s">
        <v>32</v>
      </c>
      <c r="J842" t="str">
        <f>VLOOKUP(F842,'[1]BASE DE DADOS'!$A:$C,3,0)</f>
        <v>Eduardo Carvalho Vieira dos Santos</v>
      </c>
    </row>
    <row r="843" spans="1:10" x14ac:dyDescent="0.25">
      <c r="A843" s="40" t="s">
        <v>2408</v>
      </c>
      <c r="B843" s="41">
        <v>999882011910612</v>
      </c>
      <c r="C843" s="40" t="s">
        <v>43</v>
      </c>
      <c r="D843" s="40" t="s">
        <v>10</v>
      </c>
      <c r="E843" s="40" t="s">
        <v>2409</v>
      </c>
      <c r="F843" s="40" t="s">
        <v>1906</v>
      </c>
      <c r="G843" s="40" t="s">
        <v>1141</v>
      </c>
      <c r="H843" s="40">
        <v>0</v>
      </c>
      <c r="I843" s="37" t="s">
        <v>33</v>
      </c>
      <c r="J843" t="str">
        <f>VLOOKUP(F843,'[1]BASE DE DADOS'!$A:$C,3,0)</f>
        <v>Cleber Silvestre Almeida e Silva</v>
      </c>
    </row>
    <row r="844" spans="1:10" x14ac:dyDescent="0.25">
      <c r="A844" s="40" t="s">
        <v>2410</v>
      </c>
      <c r="B844" s="41">
        <v>999882017133206</v>
      </c>
      <c r="C844" s="40" t="s">
        <v>43</v>
      </c>
      <c r="D844" s="40" t="s">
        <v>10</v>
      </c>
      <c r="E844" s="40" t="s">
        <v>2411</v>
      </c>
      <c r="F844" s="40" t="s">
        <v>1523</v>
      </c>
      <c r="G844" s="40" t="s">
        <v>1141</v>
      </c>
      <c r="H844" s="40" t="s">
        <v>2412</v>
      </c>
      <c r="I844" s="37" t="s">
        <v>32</v>
      </c>
      <c r="J844" t="str">
        <f>VLOOKUP(F844,'[1]BASE DE DADOS'!$A:$C,3,0)</f>
        <v>Hiago Vinicius Alves Dos Santos Silva</v>
      </c>
    </row>
    <row r="845" spans="1:10" x14ac:dyDescent="0.25">
      <c r="A845" s="40" t="s">
        <v>2413</v>
      </c>
      <c r="B845" s="41">
        <v>999881982746517</v>
      </c>
      <c r="C845" s="40" t="s">
        <v>40</v>
      </c>
      <c r="D845" s="40" t="s">
        <v>10</v>
      </c>
      <c r="E845" s="40" t="s">
        <v>2414</v>
      </c>
      <c r="F845" s="40" t="s">
        <v>1442</v>
      </c>
      <c r="G845" s="40" t="s">
        <v>1141</v>
      </c>
      <c r="H845" s="40">
        <v>0</v>
      </c>
      <c r="I845" s="37" t="s">
        <v>33</v>
      </c>
      <c r="J845" t="str">
        <f>VLOOKUP(F845,'[1]BASE DE DADOS'!$A:$C,3,0)</f>
        <v>Eduardo Carvalho Vieira dos Santos</v>
      </c>
    </row>
    <row r="846" spans="1:10" x14ac:dyDescent="0.25">
      <c r="A846" s="40" t="s">
        <v>2415</v>
      </c>
      <c r="B846" s="41">
        <v>999882036709252</v>
      </c>
      <c r="C846" s="40" t="s">
        <v>40</v>
      </c>
      <c r="D846" s="40" t="s">
        <v>10</v>
      </c>
      <c r="E846" s="40" t="s">
        <v>2416</v>
      </c>
      <c r="F846" s="40" t="s">
        <v>1625</v>
      </c>
      <c r="G846" s="40" t="s">
        <v>1141</v>
      </c>
      <c r="H846" s="40">
        <v>0</v>
      </c>
      <c r="I846" s="37" t="s">
        <v>33</v>
      </c>
      <c r="J846" t="str">
        <f>VLOOKUP(F846,'[1]BASE DE DADOS'!$A:$C,3,0)</f>
        <v>Eduardo Carvalho Vieira dos Santos</v>
      </c>
    </row>
    <row r="847" spans="1:10" x14ac:dyDescent="0.25">
      <c r="A847" s="40" t="s">
        <v>2417</v>
      </c>
      <c r="B847" s="41">
        <v>999882002070662</v>
      </c>
      <c r="C847" s="40" t="s">
        <v>41</v>
      </c>
      <c r="D847" s="40" t="s">
        <v>10</v>
      </c>
      <c r="E847" s="40" t="s">
        <v>2418</v>
      </c>
      <c r="F847" s="40" t="s">
        <v>1144</v>
      </c>
      <c r="G847" s="40" t="s">
        <v>1141</v>
      </c>
      <c r="H847" s="40">
        <v>0</v>
      </c>
      <c r="I847" s="37" t="s">
        <v>33</v>
      </c>
      <c r="J847" t="str">
        <f>VLOOKUP(F847,'[1]BASE DE DADOS'!$A:$C,3,0)</f>
        <v xml:space="preserve">Alex Junior Rodrigues dos santos </v>
      </c>
    </row>
    <row r="848" spans="1:10" x14ac:dyDescent="0.25">
      <c r="A848" s="40" t="s">
        <v>2419</v>
      </c>
      <c r="B848" s="41">
        <v>999881953928475</v>
      </c>
      <c r="C848" s="40" t="s">
        <v>43</v>
      </c>
      <c r="D848" s="40" t="s">
        <v>10</v>
      </c>
      <c r="E848" s="40" t="s">
        <v>2418</v>
      </c>
      <c r="F848" s="40" t="s">
        <v>1339</v>
      </c>
      <c r="G848" s="40" t="s">
        <v>1141</v>
      </c>
      <c r="H848" s="40">
        <v>0</v>
      </c>
      <c r="I848" s="37" t="s">
        <v>33</v>
      </c>
      <c r="J848" t="str">
        <f>VLOOKUP(F848,'[1]BASE DE DADOS'!$A:$C,3,0)</f>
        <v>Eduardo Carvalho Vieira dos Santos</v>
      </c>
    </row>
    <row r="849" spans="1:10" x14ac:dyDescent="0.25">
      <c r="A849" s="40" t="s">
        <v>2420</v>
      </c>
      <c r="B849" s="41">
        <v>999881934256352</v>
      </c>
      <c r="C849" s="40" t="s">
        <v>41</v>
      </c>
      <c r="D849" s="40" t="s">
        <v>10</v>
      </c>
      <c r="E849" s="40" t="s">
        <v>2421</v>
      </c>
      <c r="F849" s="40" t="s">
        <v>2422</v>
      </c>
      <c r="G849" s="40" t="s">
        <v>1141</v>
      </c>
      <c r="H849" s="40">
        <v>0</v>
      </c>
      <c r="I849" s="37" t="s">
        <v>33</v>
      </c>
      <c r="J849" t="str">
        <f>VLOOKUP(F849,'[1]BASE DE DADOS'!$A:$C,3,0)</f>
        <v>Cleber Silvestre Almeida e Silva</v>
      </c>
    </row>
    <row r="850" spans="1:10" x14ac:dyDescent="0.25">
      <c r="A850" s="40" t="s">
        <v>2423</v>
      </c>
      <c r="B850" s="41">
        <v>999881929470727</v>
      </c>
      <c r="C850" s="40" t="s">
        <v>40</v>
      </c>
      <c r="D850" s="40" t="s">
        <v>10</v>
      </c>
      <c r="E850" s="40" t="s">
        <v>2037</v>
      </c>
      <c r="F850" s="40" t="s">
        <v>2424</v>
      </c>
      <c r="G850" s="40" t="s">
        <v>1141</v>
      </c>
      <c r="H850" s="40">
        <v>0</v>
      </c>
      <c r="I850" s="37" t="s">
        <v>33</v>
      </c>
      <c r="J850" t="str">
        <f>VLOOKUP(F850,'[1]BASE DE DADOS'!$A:$C,3,0)</f>
        <v>Eduardo Carvalho Vieira dos Santos</v>
      </c>
    </row>
    <row r="851" spans="1:10" x14ac:dyDescent="0.25">
      <c r="A851" s="40" t="s">
        <v>2425</v>
      </c>
      <c r="B851" s="41">
        <v>999882008571686</v>
      </c>
      <c r="C851" s="40" t="s">
        <v>43</v>
      </c>
      <c r="D851" s="40" t="s">
        <v>10</v>
      </c>
      <c r="E851" s="40" t="s">
        <v>2426</v>
      </c>
      <c r="F851" s="40" t="s">
        <v>2016</v>
      </c>
      <c r="G851" s="40" t="s">
        <v>1141</v>
      </c>
      <c r="H851" s="40">
        <v>0</v>
      </c>
      <c r="I851" s="37" t="s">
        <v>33</v>
      </c>
      <c r="J851" t="str">
        <f>VLOOKUP(F851,'[1]BASE DE DADOS'!$A:$C,3,0)</f>
        <v>Cleber Silvestre Almeida e Silva</v>
      </c>
    </row>
    <row r="852" spans="1:10" x14ac:dyDescent="0.25">
      <c r="A852" s="40" t="s">
        <v>2427</v>
      </c>
      <c r="B852" s="41">
        <v>999881993916657</v>
      </c>
      <c r="C852" s="40" t="s">
        <v>43</v>
      </c>
      <c r="D852" s="40" t="s">
        <v>10</v>
      </c>
      <c r="E852" s="40" t="s">
        <v>2428</v>
      </c>
      <c r="F852" s="40" t="s">
        <v>1707</v>
      </c>
      <c r="G852" s="40" t="s">
        <v>1141</v>
      </c>
      <c r="H852" s="40">
        <v>0</v>
      </c>
      <c r="I852" s="37" t="s">
        <v>33</v>
      </c>
      <c r="J852" t="str">
        <f>VLOOKUP(F852,'[1]BASE DE DADOS'!$A:$C,3,0)</f>
        <v xml:space="preserve">Alex Junior Rodrigues dos santos </v>
      </c>
    </row>
    <row r="853" spans="1:10" x14ac:dyDescent="0.25">
      <c r="A853" s="40" t="s">
        <v>2429</v>
      </c>
      <c r="B853" s="41">
        <v>999882038716682</v>
      </c>
      <c r="C853" s="40" t="s">
        <v>40</v>
      </c>
      <c r="D853" s="40" t="s">
        <v>10</v>
      </c>
      <c r="E853" s="40" t="s">
        <v>2430</v>
      </c>
      <c r="F853" s="40" t="s">
        <v>1254</v>
      </c>
      <c r="G853" s="40" t="s">
        <v>1141</v>
      </c>
      <c r="H853" s="40" t="s">
        <v>2431</v>
      </c>
      <c r="I853" s="37" t="s">
        <v>32</v>
      </c>
      <c r="J853" t="str">
        <f>VLOOKUP(F853,'[1]BASE DE DADOS'!$A:$C,3,0)</f>
        <v>Eduardo Carvalho Vieira dos Santos</v>
      </c>
    </row>
    <row r="854" spans="1:10" x14ac:dyDescent="0.25">
      <c r="A854" s="40" t="s">
        <v>2432</v>
      </c>
      <c r="B854" s="41">
        <v>999881994058121</v>
      </c>
      <c r="C854" s="40" t="s">
        <v>40</v>
      </c>
      <c r="D854" s="40" t="s">
        <v>10</v>
      </c>
      <c r="E854" s="40" t="s">
        <v>470</v>
      </c>
      <c r="F854" s="40" t="s">
        <v>1323</v>
      </c>
      <c r="G854" s="40" t="s">
        <v>1141</v>
      </c>
      <c r="H854" s="40">
        <v>0</v>
      </c>
      <c r="I854" s="37" t="s">
        <v>33</v>
      </c>
      <c r="J854" t="str">
        <f>VLOOKUP(F854,'[1]BASE DE DADOS'!$A:$C,3,0)</f>
        <v>Cleber Silvestre Almeida e Silva</v>
      </c>
    </row>
    <row r="855" spans="1:10" x14ac:dyDescent="0.25">
      <c r="A855" s="40" t="s">
        <v>2433</v>
      </c>
      <c r="B855" s="41">
        <v>999881952941915</v>
      </c>
      <c r="C855" s="40" t="s">
        <v>40</v>
      </c>
      <c r="D855" s="40" t="s">
        <v>10</v>
      </c>
      <c r="E855" s="40" t="s">
        <v>2434</v>
      </c>
      <c r="F855" s="40" t="s">
        <v>1140</v>
      </c>
      <c r="G855" s="40" t="s">
        <v>1141</v>
      </c>
      <c r="H855" s="40">
        <v>0</v>
      </c>
      <c r="I855" s="37" t="s">
        <v>33</v>
      </c>
      <c r="J855" t="str">
        <f>VLOOKUP(F855,'[1]BASE DE DADOS'!$A:$C,3,0)</f>
        <v xml:space="preserve">Alex Junior Rodrigues dos santos </v>
      </c>
    </row>
    <row r="856" spans="1:10" x14ac:dyDescent="0.25">
      <c r="A856" s="40" t="s">
        <v>2435</v>
      </c>
      <c r="B856" s="41">
        <v>999881988253888</v>
      </c>
      <c r="C856" s="40" t="s">
        <v>40</v>
      </c>
      <c r="D856" s="40" t="s">
        <v>10</v>
      </c>
      <c r="E856" s="40" t="s">
        <v>2436</v>
      </c>
      <c r="F856" s="40" t="s">
        <v>1165</v>
      </c>
      <c r="G856" s="40" t="s">
        <v>1141</v>
      </c>
      <c r="H856" s="40" t="s">
        <v>2437</v>
      </c>
      <c r="I856" s="37" t="s">
        <v>32</v>
      </c>
      <c r="J856" t="str">
        <f>VLOOKUP(F856,'[1]BASE DE DADOS'!$A:$C,3,0)</f>
        <v>Eduardo Carvalho Vieira dos Santos</v>
      </c>
    </row>
    <row r="857" spans="1:10" x14ac:dyDescent="0.25">
      <c r="A857" s="40" t="s">
        <v>2438</v>
      </c>
      <c r="B857" s="41">
        <v>999882011757465</v>
      </c>
      <c r="C857" s="40" t="s">
        <v>40</v>
      </c>
      <c r="D857" s="40" t="s">
        <v>10</v>
      </c>
      <c r="E857" s="40" t="s">
        <v>2439</v>
      </c>
      <c r="F857" s="40" t="s">
        <v>1165</v>
      </c>
      <c r="G857" s="40" t="s">
        <v>1141</v>
      </c>
      <c r="H857" s="40">
        <v>0</v>
      </c>
      <c r="I857" s="37" t="s">
        <v>33</v>
      </c>
      <c r="J857" t="str">
        <f>VLOOKUP(F857,'[1]BASE DE DADOS'!$A:$C,3,0)</f>
        <v>Eduardo Carvalho Vieira dos Santos</v>
      </c>
    </row>
    <row r="858" spans="1:10" x14ac:dyDescent="0.25">
      <c r="A858" s="40" t="s">
        <v>2440</v>
      </c>
      <c r="B858" s="41">
        <v>999882014371675</v>
      </c>
      <c r="C858" s="40" t="s">
        <v>43</v>
      </c>
      <c r="D858" s="40" t="s">
        <v>10</v>
      </c>
      <c r="E858" s="40" t="s">
        <v>2441</v>
      </c>
      <c r="F858" s="40" t="s">
        <v>2442</v>
      </c>
      <c r="G858" s="40" t="s">
        <v>1141</v>
      </c>
      <c r="H858" s="40" t="s">
        <v>2443</v>
      </c>
      <c r="I858" s="37" t="s">
        <v>32</v>
      </c>
      <c r="J858" t="str">
        <f>VLOOKUP(F858,'[1]BASE DE DADOS'!$A:$C,3,0)</f>
        <v>Eduardo Carvalho Vieira dos Santos</v>
      </c>
    </row>
    <row r="859" spans="1:10" x14ac:dyDescent="0.25">
      <c r="A859" s="40" t="s">
        <v>2444</v>
      </c>
      <c r="B859" s="41">
        <v>999882013328948</v>
      </c>
      <c r="C859" s="40" t="s">
        <v>40</v>
      </c>
      <c r="D859" s="40" t="s">
        <v>10</v>
      </c>
      <c r="E859" s="40" t="s">
        <v>2445</v>
      </c>
      <c r="F859" s="40" t="s">
        <v>1144</v>
      </c>
      <c r="G859" s="40" t="s">
        <v>1141</v>
      </c>
      <c r="H859" s="40">
        <v>0</v>
      </c>
      <c r="I859" s="37" t="s">
        <v>33</v>
      </c>
      <c r="J859" t="str">
        <f>VLOOKUP(F859,'[1]BASE DE DADOS'!$A:$C,3,0)</f>
        <v xml:space="preserve">Alex Junior Rodrigues dos santos </v>
      </c>
    </row>
    <row r="860" spans="1:10" x14ac:dyDescent="0.25">
      <c r="A860" s="40" t="s">
        <v>2446</v>
      </c>
      <c r="B860" s="41">
        <v>999882015807996</v>
      </c>
      <c r="C860" s="40" t="s">
        <v>40</v>
      </c>
      <c r="D860" s="40" t="s">
        <v>10</v>
      </c>
      <c r="E860" s="40" t="s">
        <v>2447</v>
      </c>
      <c r="F860" s="40" t="s">
        <v>1352</v>
      </c>
      <c r="G860" s="40" t="s">
        <v>1141</v>
      </c>
      <c r="H860" s="40" t="s">
        <v>2448</v>
      </c>
      <c r="I860" s="37" t="s">
        <v>32</v>
      </c>
      <c r="J860" t="str">
        <f>VLOOKUP(F860,'[1]BASE DE DADOS'!$A:$C,3,0)</f>
        <v>Hiago Vinicius Alves Dos Santos Silva</v>
      </c>
    </row>
    <row r="861" spans="1:10" x14ac:dyDescent="0.25">
      <c r="A861" s="40" t="s">
        <v>2449</v>
      </c>
      <c r="B861" s="41">
        <v>999881962111116</v>
      </c>
      <c r="C861" s="40" t="s">
        <v>40</v>
      </c>
      <c r="D861" s="40" t="s">
        <v>10</v>
      </c>
      <c r="E861" s="40" t="s">
        <v>2450</v>
      </c>
      <c r="F861" s="40" t="s">
        <v>1144</v>
      </c>
      <c r="G861" s="40" t="s">
        <v>1141</v>
      </c>
      <c r="H861" s="40">
        <v>0</v>
      </c>
      <c r="I861" s="37" t="s">
        <v>33</v>
      </c>
      <c r="J861" t="str">
        <f>VLOOKUP(F861,'[1]BASE DE DADOS'!$A:$C,3,0)</f>
        <v xml:space="preserve">Alex Junior Rodrigues dos santos </v>
      </c>
    </row>
    <row r="862" spans="1:10" x14ac:dyDescent="0.25">
      <c r="A862" s="40" t="s">
        <v>2451</v>
      </c>
      <c r="B862" s="41">
        <v>999881945850923</v>
      </c>
      <c r="C862" s="40" t="s">
        <v>42</v>
      </c>
      <c r="D862" s="40" t="s">
        <v>10</v>
      </c>
      <c r="E862" s="40" t="s">
        <v>2452</v>
      </c>
      <c r="F862" s="40" t="s">
        <v>1140</v>
      </c>
      <c r="G862" s="40" t="s">
        <v>1141</v>
      </c>
      <c r="H862" s="40">
        <v>0</v>
      </c>
      <c r="I862" s="37" t="s">
        <v>33</v>
      </c>
      <c r="J862" t="str">
        <f>VLOOKUP(F862,'[1]BASE DE DADOS'!$A:$C,3,0)</f>
        <v xml:space="preserve">Alex Junior Rodrigues dos santos </v>
      </c>
    </row>
    <row r="863" spans="1:10" x14ac:dyDescent="0.25">
      <c r="A863" s="40" t="s">
        <v>2453</v>
      </c>
      <c r="B863" s="41">
        <v>999881967875790</v>
      </c>
      <c r="C863" s="40" t="s">
        <v>40</v>
      </c>
      <c r="D863" s="40" t="s">
        <v>10</v>
      </c>
      <c r="E863" s="40" t="s">
        <v>2454</v>
      </c>
      <c r="F863" s="40" t="s">
        <v>1270</v>
      </c>
      <c r="G863" s="40" t="s">
        <v>1141</v>
      </c>
      <c r="H863" s="40">
        <v>0</v>
      </c>
      <c r="I863" s="37" t="s">
        <v>33</v>
      </c>
      <c r="J863" t="str">
        <f>VLOOKUP(F863,'[1]BASE DE DADOS'!$A:$C,3,0)</f>
        <v xml:space="preserve">Alex Junior Rodrigues dos santos </v>
      </c>
    </row>
    <row r="864" spans="1:10" x14ac:dyDescent="0.25">
      <c r="A864" s="40" t="s">
        <v>2455</v>
      </c>
      <c r="B864" s="41">
        <v>999881967290135</v>
      </c>
      <c r="C864" s="40" t="s">
        <v>42</v>
      </c>
      <c r="D864" s="40" t="s">
        <v>10</v>
      </c>
      <c r="E864" s="40" t="s">
        <v>2456</v>
      </c>
      <c r="F864" s="40" t="s">
        <v>1140</v>
      </c>
      <c r="G864" s="40" t="s">
        <v>1141</v>
      </c>
      <c r="H864" s="40">
        <v>0</v>
      </c>
      <c r="I864" s="37" t="s">
        <v>33</v>
      </c>
      <c r="J864" t="str">
        <f>VLOOKUP(F864,'[1]BASE DE DADOS'!$A:$C,3,0)</f>
        <v xml:space="preserve">Alex Junior Rodrigues dos santos </v>
      </c>
    </row>
    <row r="865" spans="1:10" x14ac:dyDescent="0.25">
      <c r="A865" s="40" t="s">
        <v>2457</v>
      </c>
      <c r="B865" s="41">
        <v>999882039525761</v>
      </c>
      <c r="C865" s="40" t="s">
        <v>43</v>
      </c>
      <c r="D865" s="40" t="s">
        <v>10</v>
      </c>
      <c r="E865" s="40" t="s">
        <v>2458</v>
      </c>
      <c r="F865" s="40" t="s">
        <v>1270</v>
      </c>
      <c r="G865" s="40" t="s">
        <v>1141</v>
      </c>
      <c r="H865" s="40">
        <v>0</v>
      </c>
      <c r="I865" s="37" t="s">
        <v>33</v>
      </c>
      <c r="J865" t="str">
        <f>VLOOKUP(F865,'[1]BASE DE DADOS'!$A:$C,3,0)</f>
        <v xml:space="preserve">Alex Junior Rodrigues dos santos </v>
      </c>
    </row>
    <row r="866" spans="1:10" x14ac:dyDescent="0.25">
      <c r="A866" s="40" t="s">
        <v>2459</v>
      </c>
      <c r="B866" s="41">
        <v>999882016408312</v>
      </c>
      <c r="C866" s="40" t="s">
        <v>41</v>
      </c>
      <c r="D866" s="40" t="s">
        <v>10</v>
      </c>
      <c r="E866" s="40" t="s">
        <v>2460</v>
      </c>
      <c r="F866" s="40" t="s">
        <v>1309</v>
      </c>
      <c r="G866" s="40" t="s">
        <v>1141</v>
      </c>
      <c r="H866" s="40">
        <v>0</v>
      </c>
      <c r="I866" s="37" t="s">
        <v>33</v>
      </c>
      <c r="J866" t="str">
        <f>VLOOKUP(F866,'[1]BASE DE DADOS'!$A:$C,3,0)</f>
        <v xml:space="preserve">Alex Junior Rodrigues dos santos </v>
      </c>
    </row>
    <row r="867" spans="1:10" x14ac:dyDescent="0.25">
      <c r="A867" s="40" t="s">
        <v>2461</v>
      </c>
      <c r="B867" s="41">
        <v>999881986074148</v>
      </c>
      <c r="C867" s="40" t="s">
        <v>41</v>
      </c>
      <c r="D867" s="40" t="s">
        <v>10</v>
      </c>
      <c r="E867" s="40" t="s">
        <v>2462</v>
      </c>
      <c r="F867" s="40" t="s">
        <v>1154</v>
      </c>
      <c r="G867" s="40" t="s">
        <v>1141</v>
      </c>
      <c r="H867" s="40">
        <v>0</v>
      </c>
      <c r="I867" s="37" t="s">
        <v>33</v>
      </c>
      <c r="J867" t="str">
        <f>VLOOKUP(F867,'[1]BASE DE DADOS'!$A:$C,3,0)</f>
        <v>Eduardo Carvalho Vieira dos Santos</v>
      </c>
    </row>
    <row r="868" spans="1:10" x14ac:dyDescent="0.25">
      <c r="A868" s="40" t="s">
        <v>2463</v>
      </c>
      <c r="B868" s="41">
        <v>999881939634725</v>
      </c>
      <c r="C868" s="40" t="s">
        <v>42</v>
      </c>
      <c r="D868" s="40" t="s">
        <v>10</v>
      </c>
      <c r="E868" s="40" t="s">
        <v>2464</v>
      </c>
      <c r="F868" s="40" t="s">
        <v>1154</v>
      </c>
      <c r="G868" s="40" t="s">
        <v>1141</v>
      </c>
      <c r="H868" s="40">
        <v>0</v>
      </c>
      <c r="I868" s="37" t="s">
        <v>33</v>
      </c>
      <c r="J868" t="str">
        <f>VLOOKUP(F868,'[1]BASE DE DADOS'!$A:$C,3,0)</f>
        <v>Eduardo Carvalho Vieira dos Santos</v>
      </c>
    </row>
    <row r="869" spans="1:10" x14ac:dyDescent="0.25">
      <c r="A869" s="40" t="s">
        <v>2465</v>
      </c>
      <c r="B869" s="41">
        <v>999882021229535</v>
      </c>
      <c r="C869" s="40" t="s">
        <v>43</v>
      </c>
      <c r="D869" s="40" t="s">
        <v>10</v>
      </c>
      <c r="E869" s="40" t="s">
        <v>2466</v>
      </c>
      <c r="F869" s="40" t="s">
        <v>2064</v>
      </c>
      <c r="G869" s="40" t="s">
        <v>1141</v>
      </c>
      <c r="H869" s="40">
        <v>0</v>
      </c>
      <c r="I869" s="37" t="s">
        <v>33</v>
      </c>
      <c r="J869" t="str">
        <f>VLOOKUP(F869,'[1]BASE DE DADOS'!$A:$C,3,0)</f>
        <v>Eduardo Carvalho Vieira dos Santos</v>
      </c>
    </row>
    <row r="870" spans="1:10" x14ac:dyDescent="0.25">
      <c r="A870" s="40" t="s">
        <v>2467</v>
      </c>
      <c r="B870" s="41">
        <v>999881921079343</v>
      </c>
      <c r="C870" s="40" t="s">
        <v>40</v>
      </c>
      <c r="D870" s="40" t="s">
        <v>10</v>
      </c>
      <c r="E870" s="40" t="s">
        <v>2468</v>
      </c>
      <c r="F870" s="40" t="s">
        <v>2469</v>
      </c>
      <c r="G870" s="40" t="s">
        <v>1141</v>
      </c>
      <c r="H870" s="40">
        <v>0</v>
      </c>
      <c r="I870" s="37" t="s">
        <v>33</v>
      </c>
      <c r="J870" t="str">
        <f>VLOOKUP(F870,'[1]BASE DE DADOS'!$A:$C,3,0)</f>
        <v xml:space="preserve">Alex Junior Rodrigues dos santos </v>
      </c>
    </row>
    <row r="871" spans="1:10" x14ac:dyDescent="0.25">
      <c r="A871" s="40" t="s">
        <v>2470</v>
      </c>
      <c r="B871" s="41">
        <v>999882014500826</v>
      </c>
      <c r="C871" s="40" t="s">
        <v>41</v>
      </c>
      <c r="D871" s="40" t="s">
        <v>10</v>
      </c>
      <c r="E871" s="40" t="s">
        <v>2471</v>
      </c>
      <c r="F871" s="40" t="s">
        <v>1188</v>
      </c>
      <c r="G871" s="40" t="s">
        <v>1141</v>
      </c>
      <c r="H871" s="40">
        <v>0</v>
      </c>
      <c r="I871" s="37" t="s">
        <v>33</v>
      </c>
      <c r="J871" t="str">
        <f>VLOOKUP(F871,'[1]BASE DE DADOS'!$A:$C,3,0)</f>
        <v>Cleber Silvestre Almeida e Silva</v>
      </c>
    </row>
    <row r="872" spans="1:10" x14ac:dyDescent="0.25">
      <c r="A872" s="40" t="s">
        <v>2472</v>
      </c>
      <c r="B872" s="41">
        <v>999882003247852</v>
      </c>
      <c r="C872" s="40" t="s">
        <v>41</v>
      </c>
      <c r="D872" s="40" t="s">
        <v>10</v>
      </c>
      <c r="E872" s="40" t="s">
        <v>2473</v>
      </c>
      <c r="F872" s="40" t="s">
        <v>1263</v>
      </c>
      <c r="G872" s="40" t="s">
        <v>1141</v>
      </c>
      <c r="H872" s="40">
        <v>0</v>
      </c>
      <c r="I872" s="37" t="s">
        <v>33</v>
      </c>
      <c r="J872" t="str">
        <f>VLOOKUP(F872,'[1]BASE DE DADOS'!$A:$C,3,0)</f>
        <v>Eduardo Carvalho Vieira dos Santos</v>
      </c>
    </row>
    <row r="873" spans="1:10" x14ac:dyDescent="0.25">
      <c r="A873" s="40" t="s">
        <v>2474</v>
      </c>
      <c r="B873" s="41">
        <v>999882035053175</v>
      </c>
      <c r="C873" s="40" t="s">
        <v>43</v>
      </c>
      <c r="D873" s="40" t="s">
        <v>10</v>
      </c>
      <c r="E873" s="40" t="s">
        <v>2475</v>
      </c>
      <c r="F873" s="40" t="s">
        <v>1523</v>
      </c>
      <c r="G873" s="40" t="s">
        <v>1141</v>
      </c>
      <c r="H873" s="40" t="s">
        <v>2476</v>
      </c>
      <c r="I873" s="37" t="s">
        <v>32</v>
      </c>
      <c r="J873" t="str">
        <f>VLOOKUP(F873,'[1]BASE DE DADOS'!$A:$C,3,0)</f>
        <v>Hiago Vinicius Alves Dos Santos Silva</v>
      </c>
    </row>
    <row r="874" spans="1:10" x14ac:dyDescent="0.25">
      <c r="A874" s="40" t="s">
        <v>2477</v>
      </c>
      <c r="B874" s="41">
        <v>999881987658230</v>
      </c>
      <c r="C874" s="40" t="s">
        <v>40</v>
      </c>
      <c r="D874" s="40" t="s">
        <v>10</v>
      </c>
      <c r="E874" s="40" t="s">
        <v>2478</v>
      </c>
      <c r="F874" s="40" t="s">
        <v>1270</v>
      </c>
      <c r="G874" s="40" t="s">
        <v>1141</v>
      </c>
      <c r="H874" s="40">
        <v>0</v>
      </c>
      <c r="I874" s="37" t="s">
        <v>33</v>
      </c>
      <c r="J874" t="str">
        <f>VLOOKUP(F874,'[1]BASE DE DADOS'!$A:$C,3,0)</f>
        <v xml:space="preserve">Alex Junior Rodrigues dos santos </v>
      </c>
    </row>
    <row r="875" spans="1:10" x14ac:dyDescent="0.25">
      <c r="A875" s="40" t="s">
        <v>2479</v>
      </c>
      <c r="B875" s="41">
        <v>999881926680710</v>
      </c>
      <c r="C875" s="40" t="s">
        <v>43</v>
      </c>
      <c r="D875" s="40" t="s">
        <v>10</v>
      </c>
      <c r="E875" s="40" t="s">
        <v>2480</v>
      </c>
      <c r="F875" s="40" t="s">
        <v>1293</v>
      </c>
      <c r="G875" s="40" t="s">
        <v>1141</v>
      </c>
      <c r="H875" s="40">
        <v>0</v>
      </c>
      <c r="I875" s="37" t="s">
        <v>33</v>
      </c>
      <c r="J875" t="str">
        <f>VLOOKUP(F875,'[1]BASE DE DADOS'!$A:$C,3,0)</f>
        <v xml:space="preserve">Alex Junior Rodrigues dos santos </v>
      </c>
    </row>
    <row r="876" spans="1:10" x14ac:dyDescent="0.25">
      <c r="A876" s="40" t="s">
        <v>2481</v>
      </c>
      <c r="B876" s="41">
        <v>999882038093848</v>
      </c>
      <c r="C876" s="40" t="s">
        <v>43</v>
      </c>
      <c r="D876" s="40" t="s">
        <v>10</v>
      </c>
      <c r="E876" s="40" t="s">
        <v>2482</v>
      </c>
      <c r="F876" s="40" t="s">
        <v>1442</v>
      </c>
      <c r="G876" s="40" t="s">
        <v>1141</v>
      </c>
      <c r="H876" s="40">
        <v>0</v>
      </c>
      <c r="I876" s="37" t="s">
        <v>33</v>
      </c>
      <c r="J876" t="str">
        <f>VLOOKUP(F876,'[1]BASE DE DADOS'!$A:$C,3,0)</f>
        <v>Eduardo Carvalho Vieira dos Santos</v>
      </c>
    </row>
    <row r="877" spans="1:10" x14ac:dyDescent="0.25">
      <c r="A877" s="40" t="s">
        <v>2483</v>
      </c>
      <c r="B877" s="41">
        <v>999882016640016</v>
      </c>
      <c r="C877" s="40" t="s">
        <v>40</v>
      </c>
      <c r="D877" s="40" t="s">
        <v>10</v>
      </c>
      <c r="E877" s="40" t="s">
        <v>2484</v>
      </c>
      <c r="F877" s="40" t="s">
        <v>1144</v>
      </c>
      <c r="G877" s="40" t="s">
        <v>1141</v>
      </c>
      <c r="H877" s="40">
        <v>0</v>
      </c>
      <c r="I877" s="37" t="s">
        <v>33</v>
      </c>
      <c r="J877" t="str">
        <f>VLOOKUP(F877,'[1]BASE DE DADOS'!$A:$C,3,0)</f>
        <v xml:space="preserve">Alex Junior Rodrigues dos santos </v>
      </c>
    </row>
    <row r="878" spans="1:10" x14ac:dyDescent="0.25">
      <c r="A878" s="40" t="s">
        <v>2485</v>
      </c>
      <c r="B878" s="41">
        <v>999881926264994</v>
      </c>
      <c r="C878" s="40" t="s">
        <v>43</v>
      </c>
      <c r="D878" s="40" t="s">
        <v>10</v>
      </c>
      <c r="E878" s="40" t="s">
        <v>2486</v>
      </c>
      <c r="F878" s="40" t="s">
        <v>1998</v>
      </c>
      <c r="G878" s="40" t="s">
        <v>1141</v>
      </c>
      <c r="H878" s="40">
        <v>0</v>
      </c>
      <c r="I878" s="37" t="s">
        <v>33</v>
      </c>
      <c r="J878" t="str">
        <f>VLOOKUP(F878,'[1]BASE DE DADOS'!$A:$C,3,0)</f>
        <v>Eduardo Carvalho Vieira dos Santos</v>
      </c>
    </row>
    <row r="879" spans="1:10" x14ac:dyDescent="0.25">
      <c r="A879" s="40" t="s">
        <v>2487</v>
      </c>
      <c r="B879" s="41">
        <v>999881997142525</v>
      </c>
      <c r="C879" s="40" t="s">
        <v>41</v>
      </c>
      <c r="D879" s="40" t="s">
        <v>10</v>
      </c>
      <c r="E879" s="40" t="s">
        <v>2488</v>
      </c>
      <c r="F879" s="40" t="s">
        <v>1483</v>
      </c>
      <c r="G879" s="40" t="s">
        <v>1141</v>
      </c>
      <c r="H879" s="40">
        <v>0</v>
      </c>
      <c r="I879" s="37" t="s">
        <v>33</v>
      </c>
      <c r="J879" t="str">
        <f>VLOOKUP(F879,'[1]BASE DE DADOS'!$A:$C,3,0)</f>
        <v>Eduardo Carvalho Vieira dos Santos</v>
      </c>
    </row>
    <row r="880" spans="1:10" x14ac:dyDescent="0.25">
      <c r="A880" s="40" t="s">
        <v>2489</v>
      </c>
      <c r="B880" s="41">
        <v>999881952941915</v>
      </c>
      <c r="C880" s="40" t="s">
        <v>40</v>
      </c>
      <c r="D880" s="40" t="s">
        <v>10</v>
      </c>
      <c r="E880" s="40" t="s">
        <v>2490</v>
      </c>
      <c r="F880" s="40" t="s">
        <v>1140</v>
      </c>
      <c r="G880" s="40" t="s">
        <v>1141</v>
      </c>
      <c r="H880" s="40">
        <v>0</v>
      </c>
      <c r="I880" s="37" t="s">
        <v>33</v>
      </c>
      <c r="J880" t="str">
        <f>VLOOKUP(F880,'[1]BASE DE DADOS'!$A:$C,3,0)</f>
        <v xml:space="preserve">Alex Junior Rodrigues dos santos </v>
      </c>
    </row>
    <row r="881" spans="1:10" x14ac:dyDescent="0.25">
      <c r="A881" s="40" t="s">
        <v>2491</v>
      </c>
      <c r="B881" s="41">
        <v>999882002737935</v>
      </c>
      <c r="C881" s="40" t="s">
        <v>43</v>
      </c>
      <c r="D881" s="40" t="s">
        <v>10</v>
      </c>
      <c r="E881" s="40" t="s">
        <v>2492</v>
      </c>
      <c r="F881" s="40" t="s">
        <v>1232</v>
      </c>
      <c r="G881" s="40" t="s">
        <v>1141</v>
      </c>
      <c r="H881" s="40">
        <v>0</v>
      </c>
      <c r="I881" s="37" t="s">
        <v>33</v>
      </c>
      <c r="J881" t="str">
        <f>VLOOKUP(F881,'[1]BASE DE DADOS'!$A:$C,3,0)</f>
        <v>Eduardo Carvalho Vieira dos Santos</v>
      </c>
    </row>
    <row r="882" spans="1:10" x14ac:dyDescent="0.25">
      <c r="A882" s="40" t="s">
        <v>2493</v>
      </c>
      <c r="B882" s="41">
        <v>999881922606607</v>
      </c>
      <c r="C882" s="40" t="s">
        <v>43</v>
      </c>
      <c r="D882" s="40" t="s">
        <v>10</v>
      </c>
      <c r="E882" s="40" t="s">
        <v>2494</v>
      </c>
      <c r="F882" s="40" t="s">
        <v>1270</v>
      </c>
      <c r="G882" s="40" t="s">
        <v>1141</v>
      </c>
      <c r="H882" s="40">
        <v>0</v>
      </c>
      <c r="I882" s="37" t="s">
        <v>33</v>
      </c>
      <c r="J882" t="str">
        <f>VLOOKUP(F882,'[1]BASE DE DADOS'!$A:$C,3,0)</f>
        <v xml:space="preserve">Alex Junior Rodrigues dos santos </v>
      </c>
    </row>
    <row r="883" spans="1:10" x14ac:dyDescent="0.25">
      <c r="A883" s="40" t="s">
        <v>2495</v>
      </c>
      <c r="B883" s="41">
        <v>999882020988315</v>
      </c>
      <c r="C883" s="40" t="s">
        <v>43</v>
      </c>
      <c r="D883" s="40" t="s">
        <v>10</v>
      </c>
      <c r="E883" s="40" t="s">
        <v>2496</v>
      </c>
      <c r="F883" s="40" t="s">
        <v>1274</v>
      </c>
      <c r="G883" s="40" t="s">
        <v>1141</v>
      </c>
      <c r="H883" s="40">
        <v>0</v>
      </c>
      <c r="I883" s="37" t="s">
        <v>33</v>
      </c>
      <c r="J883" t="str">
        <f>VLOOKUP(F883,'[1]BASE DE DADOS'!$A:$C,3,0)</f>
        <v>Hiago Vinicius Alves Dos Santos Silva</v>
      </c>
    </row>
    <row r="884" spans="1:10" x14ac:dyDescent="0.25">
      <c r="A884" s="40" t="s">
        <v>2497</v>
      </c>
      <c r="B884" s="41">
        <v>999882015669509</v>
      </c>
      <c r="C884" s="40" t="s">
        <v>40</v>
      </c>
      <c r="D884" s="40" t="s">
        <v>10</v>
      </c>
      <c r="E884" s="40" t="s">
        <v>2498</v>
      </c>
      <c r="F884" s="40" t="s">
        <v>1266</v>
      </c>
      <c r="G884" s="40" t="s">
        <v>1141</v>
      </c>
      <c r="H884" s="40" t="s">
        <v>2499</v>
      </c>
      <c r="I884" s="37" t="s">
        <v>32</v>
      </c>
      <c r="J884" t="str">
        <f>VLOOKUP(F884,'[1]BASE DE DADOS'!$A:$C,3,0)</f>
        <v>Eduardo Carvalho Vieira dos Santos</v>
      </c>
    </row>
    <row r="885" spans="1:10" x14ac:dyDescent="0.25">
      <c r="A885" s="40" t="s">
        <v>2500</v>
      </c>
      <c r="B885" s="41">
        <v>999882037440975</v>
      </c>
      <c r="C885" s="40" t="s">
        <v>43</v>
      </c>
      <c r="D885" s="40" t="s">
        <v>10</v>
      </c>
      <c r="E885" s="40" t="s">
        <v>2501</v>
      </c>
      <c r="F885" s="40" t="s">
        <v>1408</v>
      </c>
      <c r="G885" s="40" t="s">
        <v>1141</v>
      </c>
      <c r="H885" s="40">
        <v>0</v>
      </c>
      <c r="I885" s="37" t="s">
        <v>33</v>
      </c>
      <c r="J885" t="str">
        <f>VLOOKUP(F885,'[1]BASE DE DADOS'!$A:$C,3,0)</f>
        <v>Hiago Vinicius Alves Dos Santos Silva</v>
      </c>
    </row>
    <row r="886" spans="1:10" x14ac:dyDescent="0.25">
      <c r="A886" s="40" t="s">
        <v>2502</v>
      </c>
      <c r="B886" s="41">
        <v>999882031133142</v>
      </c>
      <c r="C886" s="40" t="s">
        <v>43</v>
      </c>
      <c r="D886" s="40" t="s">
        <v>10</v>
      </c>
      <c r="E886" s="40" t="s">
        <v>2503</v>
      </c>
      <c r="F886" s="40" t="s">
        <v>2068</v>
      </c>
      <c r="G886" s="40" t="s">
        <v>1141</v>
      </c>
      <c r="H886" s="40">
        <v>0</v>
      </c>
      <c r="I886" s="37" t="s">
        <v>33</v>
      </c>
      <c r="J886" t="str">
        <f>VLOOKUP(F886,'[1]BASE DE DADOS'!$A:$C,3,0)</f>
        <v xml:space="preserve">Alex Junior Rodrigues dos santos </v>
      </c>
    </row>
    <row r="887" spans="1:10" x14ac:dyDescent="0.25">
      <c r="A887" s="40" t="s">
        <v>2504</v>
      </c>
      <c r="B887" s="41">
        <v>999882041061209</v>
      </c>
      <c r="C887" s="40" t="s">
        <v>40</v>
      </c>
      <c r="D887" s="40" t="s">
        <v>10</v>
      </c>
      <c r="E887" s="40" t="s">
        <v>2505</v>
      </c>
      <c r="F887" s="40" t="s">
        <v>1373</v>
      </c>
      <c r="G887" s="40" t="s">
        <v>1141</v>
      </c>
      <c r="H887" s="40" t="s">
        <v>2506</v>
      </c>
      <c r="I887" s="37" t="s">
        <v>32</v>
      </c>
      <c r="J887" t="str">
        <f>VLOOKUP(F887,'[1]BASE DE DADOS'!$A:$C,3,0)</f>
        <v>Hiago Vinicius Alves Dos Santos Silva</v>
      </c>
    </row>
    <row r="888" spans="1:10" x14ac:dyDescent="0.25">
      <c r="A888" s="40" t="s">
        <v>2507</v>
      </c>
      <c r="B888" s="41">
        <v>999882018170881</v>
      </c>
      <c r="C888" s="40" t="s">
        <v>41</v>
      </c>
      <c r="D888" s="40" t="s">
        <v>10</v>
      </c>
      <c r="E888" s="40" t="s">
        <v>2508</v>
      </c>
      <c r="F888" s="40" t="s">
        <v>1144</v>
      </c>
      <c r="G888" s="40" t="s">
        <v>1141</v>
      </c>
      <c r="H888" s="40">
        <v>0</v>
      </c>
      <c r="I888" s="37" t="s">
        <v>33</v>
      </c>
      <c r="J888" t="str">
        <f>VLOOKUP(F888,'[1]BASE DE DADOS'!$A:$C,3,0)</f>
        <v xml:space="preserve">Alex Junior Rodrigues dos santos </v>
      </c>
    </row>
    <row r="889" spans="1:10" x14ac:dyDescent="0.25">
      <c r="A889" s="40" t="s">
        <v>2509</v>
      </c>
      <c r="B889" s="41">
        <v>999882018074699</v>
      </c>
      <c r="C889" s="40" t="s">
        <v>43</v>
      </c>
      <c r="D889" s="40" t="s">
        <v>10</v>
      </c>
      <c r="E889" s="40" t="s">
        <v>2510</v>
      </c>
      <c r="F889" s="40" t="s">
        <v>1282</v>
      </c>
      <c r="G889" s="40" t="s">
        <v>1141</v>
      </c>
      <c r="H889" s="40">
        <v>0</v>
      </c>
      <c r="I889" s="37" t="s">
        <v>33</v>
      </c>
      <c r="J889" t="str">
        <f>VLOOKUP(F889,'[1]BASE DE DADOS'!$A:$C,3,0)</f>
        <v>Hiago Vinicius Alves Dos Santos Silva</v>
      </c>
    </row>
    <row r="890" spans="1:10" x14ac:dyDescent="0.25">
      <c r="A890" s="40" t="s">
        <v>2511</v>
      </c>
      <c r="B890" s="41">
        <v>999881931198835</v>
      </c>
      <c r="C890" s="40" t="s">
        <v>43</v>
      </c>
      <c r="D890" s="40" t="s">
        <v>10</v>
      </c>
      <c r="E890" s="40" t="s">
        <v>2512</v>
      </c>
      <c r="F890" s="40" t="s">
        <v>1297</v>
      </c>
      <c r="G890" s="40" t="s">
        <v>1141</v>
      </c>
      <c r="H890" s="40">
        <v>0</v>
      </c>
      <c r="I890" s="37" t="s">
        <v>33</v>
      </c>
      <c r="J890" t="str">
        <f>VLOOKUP(F890,'[1]BASE DE DADOS'!$A:$C,3,0)</f>
        <v>Cleber Silvestre Almeida e Silva</v>
      </c>
    </row>
    <row r="891" spans="1:10" x14ac:dyDescent="0.25">
      <c r="A891" s="40" t="s">
        <v>2513</v>
      </c>
      <c r="B891" s="41">
        <v>999882011606372</v>
      </c>
      <c r="C891" s="40" t="s">
        <v>41</v>
      </c>
      <c r="D891" s="40" t="s">
        <v>10</v>
      </c>
      <c r="E891" s="40" t="s">
        <v>2514</v>
      </c>
      <c r="F891" s="40" t="s">
        <v>1188</v>
      </c>
      <c r="G891" s="40" t="s">
        <v>1141</v>
      </c>
      <c r="H891" s="40" t="s">
        <v>2515</v>
      </c>
      <c r="I891" s="37" t="s">
        <v>32</v>
      </c>
      <c r="J891" t="str">
        <f>VLOOKUP(F891,'[1]BASE DE DADOS'!$A:$C,3,0)</f>
        <v>Cleber Silvestre Almeida e Silva</v>
      </c>
    </row>
    <row r="892" spans="1:10" x14ac:dyDescent="0.25">
      <c r="A892" s="40" t="s">
        <v>2516</v>
      </c>
      <c r="B892" s="41">
        <v>999882034926876</v>
      </c>
      <c r="C892" s="40" t="s">
        <v>40</v>
      </c>
      <c r="D892" s="40" t="s">
        <v>10</v>
      </c>
      <c r="E892" s="40" t="s">
        <v>2517</v>
      </c>
      <c r="F892" s="40" t="s">
        <v>1263</v>
      </c>
      <c r="G892" s="40" t="s">
        <v>1141</v>
      </c>
      <c r="H892" s="40">
        <v>0</v>
      </c>
      <c r="I892" s="37" t="s">
        <v>33</v>
      </c>
      <c r="J892" t="str">
        <f>VLOOKUP(F892,'[1]BASE DE DADOS'!$A:$C,3,0)</f>
        <v>Eduardo Carvalho Vieira dos Santos</v>
      </c>
    </row>
    <row r="893" spans="1:10" x14ac:dyDescent="0.25">
      <c r="A893" s="40" t="s">
        <v>2518</v>
      </c>
      <c r="B893" s="41">
        <v>999882022874270</v>
      </c>
      <c r="C893" s="40" t="s">
        <v>40</v>
      </c>
      <c r="D893" s="40" t="s">
        <v>10</v>
      </c>
      <c r="E893" s="40" t="s">
        <v>2519</v>
      </c>
      <c r="F893" s="40" t="s">
        <v>1684</v>
      </c>
      <c r="G893" s="40" t="s">
        <v>1141</v>
      </c>
      <c r="H893" s="40" t="s">
        <v>2520</v>
      </c>
      <c r="I893" s="37" t="s">
        <v>32</v>
      </c>
      <c r="J893" t="str">
        <f>VLOOKUP(F893,'[1]BASE DE DADOS'!$A:$C,3,0)</f>
        <v>Eduardo Carvalho Vieira dos Santos</v>
      </c>
    </row>
    <row r="894" spans="1:10" x14ac:dyDescent="0.25">
      <c r="A894" s="40" t="s">
        <v>2521</v>
      </c>
      <c r="B894" s="41">
        <v>999882002927539</v>
      </c>
      <c r="C894" s="40" t="s">
        <v>40</v>
      </c>
      <c r="D894" s="40" t="s">
        <v>10</v>
      </c>
      <c r="E894" s="40" t="s">
        <v>2522</v>
      </c>
      <c r="F894" s="40" t="s">
        <v>1684</v>
      </c>
      <c r="G894" s="40" t="s">
        <v>1141</v>
      </c>
      <c r="H894" s="40" t="s">
        <v>2520</v>
      </c>
      <c r="I894" s="37" t="s">
        <v>32</v>
      </c>
      <c r="J894" t="str">
        <f>VLOOKUP(F894,'[1]BASE DE DADOS'!$A:$C,3,0)</f>
        <v>Eduardo Carvalho Vieira dos Santos</v>
      </c>
    </row>
    <row r="895" spans="1:10" x14ac:dyDescent="0.25">
      <c r="A895" s="40" t="s">
        <v>2523</v>
      </c>
      <c r="B895" s="41">
        <v>999882016944645</v>
      </c>
      <c r="C895" s="40" t="s">
        <v>40</v>
      </c>
      <c r="D895" s="40" t="s">
        <v>10</v>
      </c>
      <c r="E895" s="40" t="s">
        <v>2524</v>
      </c>
      <c r="F895" s="40" t="s">
        <v>1684</v>
      </c>
      <c r="G895" s="40" t="s">
        <v>1141</v>
      </c>
      <c r="H895" s="40" t="s">
        <v>2525</v>
      </c>
      <c r="I895" s="37" t="s">
        <v>32</v>
      </c>
      <c r="J895" t="str">
        <f>VLOOKUP(F895,'[1]BASE DE DADOS'!$A:$C,3,0)</f>
        <v>Eduardo Carvalho Vieira dos Santos</v>
      </c>
    </row>
    <row r="896" spans="1:10" x14ac:dyDescent="0.25">
      <c r="A896" s="40" t="s">
        <v>2526</v>
      </c>
      <c r="B896" s="41">
        <v>999882042777685</v>
      </c>
      <c r="C896" s="40" t="s">
        <v>43</v>
      </c>
      <c r="D896" s="40" t="s">
        <v>10</v>
      </c>
      <c r="E896" s="40" t="s">
        <v>2527</v>
      </c>
      <c r="F896" s="40" t="s">
        <v>2528</v>
      </c>
      <c r="G896" s="40" t="s">
        <v>1141</v>
      </c>
      <c r="H896" s="40" t="s">
        <v>2529</v>
      </c>
      <c r="I896" s="37" t="s">
        <v>32</v>
      </c>
      <c r="J896" t="str">
        <f>VLOOKUP(F896,'[1]BASE DE DADOS'!$A:$C,3,0)</f>
        <v>Cleber Silvestre Almeida e Silva</v>
      </c>
    </row>
    <row r="897" spans="1:10" x14ac:dyDescent="0.25">
      <c r="A897" s="40" t="s">
        <v>2530</v>
      </c>
      <c r="B897" s="41">
        <v>999882022377683</v>
      </c>
      <c r="C897" s="40" t="s">
        <v>43</v>
      </c>
      <c r="D897" s="40" t="s">
        <v>10</v>
      </c>
      <c r="E897" s="40" t="s">
        <v>2531</v>
      </c>
      <c r="F897" s="40" t="s">
        <v>1442</v>
      </c>
      <c r="G897" s="40" t="s">
        <v>1141</v>
      </c>
      <c r="H897" s="40">
        <v>0</v>
      </c>
      <c r="I897" s="37" t="s">
        <v>33</v>
      </c>
      <c r="J897" t="str">
        <f>VLOOKUP(F897,'[1]BASE DE DADOS'!$A:$C,3,0)</f>
        <v>Eduardo Carvalho Vieira dos Santos</v>
      </c>
    </row>
    <row r="898" spans="1:10" x14ac:dyDescent="0.25">
      <c r="A898" s="40" t="s">
        <v>2532</v>
      </c>
      <c r="B898" s="41">
        <v>999881869549184</v>
      </c>
      <c r="C898" s="40" t="s">
        <v>40</v>
      </c>
      <c r="D898" s="40" t="s">
        <v>10</v>
      </c>
      <c r="E898" s="40" t="s">
        <v>2533</v>
      </c>
      <c r="F898" s="40" t="s">
        <v>1165</v>
      </c>
      <c r="G898" s="40" t="s">
        <v>1141</v>
      </c>
      <c r="H898" s="40">
        <v>0</v>
      </c>
      <c r="I898" s="37" t="s">
        <v>33</v>
      </c>
      <c r="J898" t="str">
        <f>VLOOKUP(F898,'[1]BASE DE DADOS'!$A:$C,3,0)</f>
        <v>Eduardo Carvalho Vieira dos Santos</v>
      </c>
    </row>
    <row r="899" spans="1:10" x14ac:dyDescent="0.25">
      <c r="A899" s="40" t="s">
        <v>2534</v>
      </c>
      <c r="B899" s="41">
        <v>999881978495655</v>
      </c>
      <c r="C899" s="40" t="s">
        <v>40</v>
      </c>
      <c r="D899" s="40" t="s">
        <v>10</v>
      </c>
      <c r="E899" s="40" t="s">
        <v>2535</v>
      </c>
      <c r="F899" s="40" t="s">
        <v>1165</v>
      </c>
      <c r="G899" s="40" t="s">
        <v>1141</v>
      </c>
      <c r="H899" s="40">
        <v>0</v>
      </c>
      <c r="I899" s="37" t="s">
        <v>33</v>
      </c>
      <c r="J899" t="str">
        <f>VLOOKUP(F899,'[1]BASE DE DADOS'!$A:$C,3,0)</f>
        <v>Eduardo Carvalho Vieira dos Santos</v>
      </c>
    </row>
    <row r="900" spans="1:10" x14ac:dyDescent="0.25">
      <c r="A900" s="40" t="s">
        <v>2536</v>
      </c>
      <c r="B900" s="41">
        <v>999882031475029</v>
      </c>
      <c r="C900" s="40" t="s">
        <v>41</v>
      </c>
      <c r="D900" s="40" t="s">
        <v>10</v>
      </c>
      <c r="E900" s="40" t="s">
        <v>2537</v>
      </c>
      <c r="F900" s="40" t="s">
        <v>1144</v>
      </c>
      <c r="G900" s="40" t="s">
        <v>1141</v>
      </c>
      <c r="H900" s="40">
        <v>0</v>
      </c>
      <c r="I900" s="37" t="s">
        <v>33</v>
      </c>
      <c r="J900" t="str">
        <f>VLOOKUP(F900,'[1]BASE DE DADOS'!$A:$C,3,0)</f>
        <v xml:space="preserve">Alex Junior Rodrigues dos santos </v>
      </c>
    </row>
    <row r="901" spans="1:10" x14ac:dyDescent="0.25">
      <c r="A901" s="40" t="s">
        <v>2538</v>
      </c>
      <c r="B901" s="41">
        <v>999882012706525</v>
      </c>
      <c r="C901" s="40" t="s">
        <v>40</v>
      </c>
      <c r="D901" s="40" t="s">
        <v>10</v>
      </c>
      <c r="E901" s="40" t="s">
        <v>2539</v>
      </c>
      <c r="F901" s="40" t="s">
        <v>1165</v>
      </c>
      <c r="G901" s="40" t="s">
        <v>1141</v>
      </c>
      <c r="H901" s="40" t="s">
        <v>2540</v>
      </c>
      <c r="I901" s="37" t="s">
        <v>32</v>
      </c>
      <c r="J901" t="str">
        <f>VLOOKUP(F901,'[1]BASE DE DADOS'!$A:$C,3,0)</f>
        <v>Eduardo Carvalho Vieira dos Santos</v>
      </c>
    </row>
    <row r="902" spans="1:10" x14ac:dyDescent="0.25">
      <c r="A902" s="40" t="s">
        <v>2541</v>
      </c>
      <c r="B902" s="41">
        <v>999881964666927</v>
      </c>
      <c r="C902" s="40" t="s">
        <v>43</v>
      </c>
      <c r="D902" s="40" t="s">
        <v>10</v>
      </c>
      <c r="E902" s="40" t="s">
        <v>2542</v>
      </c>
      <c r="F902" s="40" t="s">
        <v>2081</v>
      </c>
      <c r="G902" s="40" t="s">
        <v>1141</v>
      </c>
      <c r="H902" s="40">
        <v>0</v>
      </c>
      <c r="I902" s="37" t="s">
        <v>33</v>
      </c>
      <c r="J902" t="str">
        <f>VLOOKUP(F902,'[1]BASE DE DADOS'!$A:$C,3,0)</f>
        <v>Cleber Silvestre Almeida e Silva</v>
      </c>
    </row>
    <row r="903" spans="1:10" x14ac:dyDescent="0.25">
      <c r="A903" s="40" t="s">
        <v>2543</v>
      </c>
      <c r="B903" s="41">
        <v>999881993870301</v>
      </c>
      <c r="C903" s="40" t="s">
        <v>40</v>
      </c>
      <c r="D903" s="40" t="s">
        <v>10</v>
      </c>
      <c r="E903" s="40" t="s">
        <v>2544</v>
      </c>
      <c r="F903" s="40" t="s">
        <v>2545</v>
      </c>
      <c r="G903" s="40" t="s">
        <v>1141</v>
      </c>
      <c r="H903" s="40">
        <v>0</v>
      </c>
      <c r="I903" s="37" t="s">
        <v>33</v>
      </c>
      <c r="J903" t="str">
        <f>VLOOKUP(F903,'[1]BASE DE DADOS'!$A:$C,3,0)</f>
        <v>Cleber Silvestre Almeida e Silva</v>
      </c>
    </row>
    <row r="904" spans="1:10" x14ac:dyDescent="0.25">
      <c r="A904" s="40" t="s">
        <v>2546</v>
      </c>
      <c r="B904" s="41">
        <v>999882026425421</v>
      </c>
      <c r="C904" s="40" t="s">
        <v>40</v>
      </c>
      <c r="D904" s="40" t="s">
        <v>10</v>
      </c>
      <c r="E904" s="40" t="s">
        <v>2547</v>
      </c>
      <c r="F904" s="40" t="s">
        <v>1955</v>
      </c>
      <c r="G904" s="40" t="s">
        <v>1141</v>
      </c>
      <c r="H904" s="40">
        <v>0</v>
      </c>
      <c r="I904" s="37" t="s">
        <v>33</v>
      </c>
      <c r="J904" t="str">
        <f>VLOOKUP(F904,'[1]BASE DE DADOS'!$A:$C,3,0)</f>
        <v xml:space="preserve">Alex Junior Rodrigues dos santos </v>
      </c>
    </row>
    <row r="905" spans="1:10" x14ac:dyDescent="0.25">
      <c r="A905" s="40" t="s">
        <v>2548</v>
      </c>
      <c r="B905" s="41">
        <v>999881936302110</v>
      </c>
      <c r="C905" s="40" t="s">
        <v>43</v>
      </c>
      <c r="D905" s="40" t="s">
        <v>10</v>
      </c>
      <c r="E905" s="40" t="s">
        <v>2549</v>
      </c>
      <c r="F905" s="40" t="s">
        <v>1239</v>
      </c>
      <c r="G905" s="40" t="s">
        <v>1141</v>
      </c>
      <c r="H905" s="40">
        <v>0</v>
      </c>
      <c r="I905" s="37" t="s">
        <v>33</v>
      </c>
      <c r="J905" t="str">
        <f>VLOOKUP(F905,'[1]BASE DE DADOS'!$A:$C,3,0)</f>
        <v>Eduardo Carvalho Vieira dos Santos</v>
      </c>
    </row>
    <row r="906" spans="1:10" x14ac:dyDescent="0.25">
      <c r="A906" s="40" t="s">
        <v>2550</v>
      </c>
      <c r="B906" s="41">
        <v>999882036359625</v>
      </c>
      <c r="C906" s="40" t="s">
        <v>41</v>
      </c>
      <c r="D906" s="40" t="s">
        <v>10</v>
      </c>
      <c r="E906" s="40" t="s">
        <v>2551</v>
      </c>
      <c r="F906" s="40" t="s">
        <v>1144</v>
      </c>
      <c r="G906" s="40" t="s">
        <v>1141</v>
      </c>
      <c r="H906" s="40">
        <v>0</v>
      </c>
      <c r="I906" s="37" t="s">
        <v>33</v>
      </c>
      <c r="J906" t="str">
        <f>VLOOKUP(F906,'[1]BASE DE DADOS'!$A:$C,3,0)</f>
        <v xml:space="preserve">Alex Junior Rodrigues dos santos </v>
      </c>
    </row>
    <row r="907" spans="1:10" x14ac:dyDescent="0.25">
      <c r="A907" s="40" t="s">
        <v>2552</v>
      </c>
      <c r="B907" s="41">
        <v>999882019311466</v>
      </c>
      <c r="C907" s="40" t="s">
        <v>43</v>
      </c>
      <c r="D907" s="40" t="s">
        <v>10</v>
      </c>
      <c r="E907" s="40" t="s">
        <v>2553</v>
      </c>
      <c r="F907" s="40" t="s">
        <v>1165</v>
      </c>
      <c r="G907" s="40" t="s">
        <v>1141</v>
      </c>
      <c r="H907" s="40">
        <v>0</v>
      </c>
      <c r="I907" s="37" t="s">
        <v>33</v>
      </c>
      <c r="J907" t="str">
        <f>VLOOKUP(F907,'[1]BASE DE DADOS'!$A:$C,3,0)</f>
        <v>Eduardo Carvalho Vieira dos Santos</v>
      </c>
    </row>
    <row r="908" spans="1:10" x14ac:dyDescent="0.25">
      <c r="A908" s="40" t="s">
        <v>2554</v>
      </c>
      <c r="B908" s="41">
        <v>999881931722575</v>
      </c>
      <c r="C908" s="40" t="s">
        <v>40</v>
      </c>
      <c r="D908" s="40" t="s">
        <v>10</v>
      </c>
      <c r="E908" s="40" t="s">
        <v>2555</v>
      </c>
      <c r="F908" s="40" t="s">
        <v>1323</v>
      </c>
      <c r="G908" s="40" t="s">
        <v>1141</v>
      </c>
      <c r="H908" s="40">
        <v>0</v>
      </c>
      <c r="I908" s="37" t="s">
        <v>33</v>
      </c>
      <c r="J908" t="str">
        <f>VLOOKUP(F908,'[1]BASE DE DADOS'!$A:$C,3,0)</f>
        <v>Cleber Silvestre Almeida e Silva</v>
      </c>
    </row>
    <row r="909" spans="1:10" x14ac:dyDescent="0.25">
      <c r="A909" s="40" t="s">
        <v>2556</v>
      </c>
      <c r="B909" s="41">
        <v>999881952941915</v>
      </c>
      <c r="C909" s="40" t="s">
        <v>40</v>
      </c>
      <c r="D909" s="40" t="s">
        <v>10</v>
      </c>
      <c r="E909" s="40" t="s">
        <v>2557</v>
      </c>
      <c r="F909" s="40" t="s">
        <v>1140</v>
      </c>
      <c r="G909" s="40" t="s">
        <v>1141</v>
      </c>
      <c r="H909" s="40">
        <v>0</v>
      </c>
      <c r="I909" s="37" t="s">
        <v>33</v>
      </c>
      <c r="J909" t="str">
        <f>VLOOKUP(F909,'[1]BASE DE DADOS'!$A:$C,3,0)</f>
        <v xml:space="preserve">Alex Junior Rodrigues dos santos </v>
      </c>
    </row>
    <row r="910" spans="1:10" x14ac:dyDescent="0.25">
      <c r="A910" s="40" t="s">
        <v>2558</v>
      </c>
      <c r="B910" s="41">
        <v>999881921787352</v>
      </c>
      <c r="C910" s="40" t="s">
        <v>43</v>
      </c>
      <c r="D910" s="40" t="s">
        <v>10</v>
      </c>
      <c r="E910" s="40" t="s">
        <v>2559</v>
      </c>
      <c r="F910" s="40" t="s">
        <v>1479</v>
      </c>
      <c r="G910" s="40" t="s">
        <v>1141</v>
      </c>
      <c r="H910" s="40">
        <v>0</v>
      </c>
      <c r="I910" s="37" t="s">
        <v>33</v>
      </c>
      <c r="J910" t="str">
        <f>VLOOKUP(F910,'[1]BASE DE DADOS'!$A:$C,3,0)</f>
        <v>Eduardo Carvalho Vieira dos Santos</v>
      </c>
    </row>
    <row r="911" spans="1:10" x14ac:dyDescent="0.25">
      <c r="A911" s="40" t="s">
        <v>2560</v>
      </c>
      <c r="B911" s="41">
        <v>999882033821999</v>
      </c>
      <c r="C911" s="40" t="s">
        <v>42</v>
      </c>
      <c r="D911" s="40" t="s">
        <v>10</v>
      </c>
      <c r="E911" s="40" t="s">
        <v>2561</v>
      </c>
      <c r="F911" s="40" t="s">
        <v>1192</v>
      </c>
      <c r="G911" s="40" t="s">
        <v>1141</v>
      </c>
      <c r="H911" s="40">
        <v>0</v>
      </c>
      <c r="I911" s="37" t="s">
        <v>33</v>
      </c>
      <c r="J911" t="str">
        <f>VLOOKUP(F911,'[1]BASE DE DADOS'!$A:$C,3,0)</f>
        <v>Eduardo Carvalho Vieira dos Santos</v>
      </c>
    </row>
    <row r="912" spans="1:10" x14ac:dyDescent="0.25">
      <c r="A912" s="40" t="s">
        <v>2562</v>
      </c>
      <c r="B912" s="41">
        <v>999881909891610</v>
      </c>
      <c r="C912" s="40" t="s">
        <v>43</v>
      </c>
      <c r="D912" s="40" t="s">
        <v>10</v>
      </c>
      <c r="E912" s="40" t="s">
        <v>2563</v>
      </c>
      <c r="F912" s="40" t="s">
        <v>2545</v>
      </c>
      <c r="G912" s="40" t="s">
        <v>1141</v>
      </c>
      <c r="H912" s="40">
        <v>0</v>
      </c>
      <c r="I912" s="37" t="s">
        <v>33</v>
      </c>
      <c r="J912" t="str">
        <f>VLOOKUP(F912,'[1]BASE DE DADOS'!$A:$C,3,0)</f>
        <v>Cleber Silvestre Almeida e Silva</v>
      </c>
    </row>
    <row r="913" spans="1:10" x14ac:dyDescent="0.25">
      <c r="A913" s="40" t="s">
        <v>2564</v>
      </c>
      <c r="B913" s="41">
        <v>999881974819008</v>
      </c>
      <c r="C913" s="40" t="s">
        <v>43</v>
      </c>
      <c r="D913" s="40" t="s">
        <v>10</v>
      </c>
      <c r="E913" s="40" t="s">
        <v>2565</v>
      </c>
      <c r="F913" s="40" t="s">
        <v>1243</v>
      </c>
      <c r="G913" s="40" t="s">
        <v>1141</v>
      </c>
      <c r="H913" s="40" t="s">
        <v>2566</v>
      </c>
      <c r="I913" s="37" t="s">
        <v>32</v>
      </c>
      <c r="J913" t="str">
        <f>VLOOKUP(F913,'[1]BASE DE DADOS'!$A:$C,3,0)</f>
        <v>Eduardo Carvalho Vieira dos Santos</v>
      </c>
    </row>
    <row r="914" spans="1:10" x14ac:dyDescent="0.25">
      <c r="A914" s="40" t="s">
        <v>2567</v>
      </c>
      <c r="B914" s="41">
        <v>999881982563785</v>
      </c>
      <c r="C914" s="40" t="s">
        <v>41</v>
      </c>
      <c r="D914" s="40" t="s">
        <v>10</v>
      </c>
      <c r="E914" s="40" t="s">
        <v>2568</v>
      </c>
      <c r="F914" s="40" t="s">
        <v>1151</v>
      </c>
      <c r="G914" s="40" t="s">
        <v>1141</v>
      </c>
      <c r="H914" s="40">
        <v>0</v>
      </c>
      <c r="I914" s="37" t="s">
        <v>33</v>
      </c>
      <c r="J914" t="str">
        <f>VLOOKUP(F914,'[1]BASE DE DADOS'!$A:$C,3,0)</f>
        <v>Hiago Vinicius Alves Dos Santos Silva</v>
      </c>
    </row>
    <row r="915" spans="1:10" x14ac:dyDescent="0.25">
      <c r="A915" s="40" t="s">
        <v>2569</v>
      </c>
      <c r="B915" s="41">
        <v>999881975209617</v>
      </c>
      <c r="C915" s="40" t="s">
        <v>43</v>
      </c>
      <c r="D915" s="40" t="s">
        <v>10</v>
      </c>
      <c r="E915" s="40" t="s">
        <v>2570</v>
      </c>
      <c r="F915" s="40" t="s">
        <v>1154</v>
      </c>
      <c r="G915" s="40" t="s">
        <v>1141</v>
      </c>
      <c r="H915" s="40">
        <v>0</v>
      </c>
      <c r="I915" s="37" t="s">
        <v>33</v>
      </c>
      <c r="J915" t="str">
        <f>VLOOKUP(F915,'[1]BASE DE DADOS'!$A:$C,3,0)</f>
        <v>Eduardo Carvalho Vieira dos Santos</v>
      </c>
    </row>
    <row r="916" spans="1:10" x14ac:dyDescent="0.25">
      <c r="A916" s="40" t="s">
        <v>2571</v>
      </c>
      <c r="B916" s="41">
        <v>999882025072005</v>
      </c>
      <c r="C916" s="40" t="s">
        <v>43</v>
      </c>
      <c r="D916" s="40" t="s">
        <v>10</v>
      </c>
      <c r="E916" s="40" t="s">
        <v>2572</v>
      </c>
      <c r="F916" s="40" t="s">
        <v>1274</v>
      </c>
      <c r="G916" s="40" t="s">
        <v>1141</v>
      </c>
      <c r="H916" s="40">
        <v>0</v>
      </c>
      <c r="I916" s="37" t="s">
        <v>33</v>
      </c>
      <c r="J916" t="str">
        <f>VLOOKUP(F916,'[1]BASE DE DADOS'!$A:$C,3,0)</f>
        <v>Hiago Vinicius Alves Dos Santos Silva</v>
      </c>
    </row>
    <row r="917" spans="1:10" x14ac:dyDescent="0.25">
      <c r="A917" s="40" t="s">
        <v>2573</v>
      </c>
      <c r="B917" s="41">
        <v>999881979026463</v>
      </c>
      <c r="C917" s="40" t="s">
        <v>42</v>
      </c>
      <c r="D917" s="40" t="s">
        <v>10</v>
      </c>
      <c r="E917" s="40" t="s">
        <v>2574</v>
      </c>
      <c r="F917" s="40" t="s">
        <v>1144</v>
      </c>
      <c r="G917" s="40" t="s">
        <v>1141</v>
      </c>
      <c r="H917" s="40">
        <v>0</v>
      </c>
      <c r="I917" s="37" t="s">
        <v>33</v>
      </c>
      <c r="J917" t="str">
        <f>VLOOKUP(F917,'[1]BASE DE DADOS'!$A:$C,3,0)</f>
        <v xml:space="preserve">Alex Junior Rodrigues dos santos </v>
      </c>
    </row>
    <row r="918" spans="1:10" x14ac:dyDescent="0.25">
      <c r="A918" s="40" t="s">
        <v>2575</v>
      </c>
      <c r="B918" s="41">
        <v>999882037116472</v>
      </c>
      <c r="C918" s="40" t="s">
        <v>40</v>
      </c>
      <c r="D918" s="40" t="s">
        <v>10</v>
      </c>
      <c r="E918" s="40" t="s">
        <v>2576</v>
      </c>
      <c r="F918" s="40" t="s">
        <v>1144</v>
      </c>
      <c r="G918" s="40" t="s">
        <v>1141</v>
      </c>
      <c r="H918" s="40">
        <v>0</v>
      </c>
      <c r="I918" s="37" t="s">
        <v>33</v>
      </c>
      <c r="J918" t="str">
        <f>VLOOKUP(F918,'[1]BASE DE DADOS'!$A:$C,3,0)</f>
        <v xml:space="preserve">Alex Junior Rodrigues dos santos </v>
      </c>
    </row>
    <row r="919" spans="1:10" x14ac:dyDescent="0.25">
      <c r="A919" s="40" t="s">
        <v>2577</v>
      </c>
      <c r="B919" s="41">
        <v>999881981340057</v>
      </c>
      <c r="C919" s="40" t="s">
        <v>43</v>
      </c>
      <c r="D919" s="40" t="s">
        <v>10</v>
      </c>
      <c r="E919" s="40" t="s">
        <v>2578</v>
      </c>
      <c r="F919" s="40" t="s">
        <v>1270</v>
      </c>
      <c r="G919" s="40" t="s">
        <v>1141</v>
      </c>
      <c r="H919" s="40">
        <v>0</v>
      </c>
      <c r="I919" s="37" t="s">
        <v>33</v>
      </c>
      <c r="J919" t="str">
        <f>VLOOKUP(F919,'[1]BASE DE DADOS'!$A:$C,3,0)</f>
        <v xml:space="preserve">Alex Junior Rodrigues dos santos </v>
      </c>
    </row>
    <row r="920" spans="1:10" x14ac:dyDescent="0.25">
      <c r="A920" s="40" t="s">
        <v>2579</v>
      </c>
      <c r="B920" s="41">
        <v>999881978174016</v>
      </c>
      <c r="C920" s="40" t="s">
        <v>43</v>
      </c>
      <c r="D920" s="40" t="s">
        <v>10</v>
      </c>
      <c r="E920" s="40" t="s">
        <v>2580</v>
      </c>
      <c r="F920" s="40" t="s">
        <v>2581</v>
      </c>
      <c r="G920" s="40" t="s">
        <v>1141</v>
      </c>
      <c r="H920" s="40">
        <v>0</v>
      </c>
      <c r="I920" s="37" t="s">
        <v>33</v>
      </c>
      <c r="J920" t="str">
        <f>VLOOKUP(F920,'[1]BASE DE DADOS'!$A:$C,3,0)</f>
        <v xml:space="preserve">Alex Junior Rodrigues dos santos </v>
      </c>
    </row>
    <row r="921" spans="1:10" x14ac:dyDescent="0.25">
      <c r="A921" s="40" t="s">
        <v>2582</v>
      </c>
      <c r="B921" s="41">
        <v>999882031423323</v>
      </c>
      <c r="C921" s="40" t="s">
        <v>43</v>
      </c>
      <c r="D921" s="40" t="s">
        <v>10</v>
      </c>
      <c r="E921" s="40" t="s">
        <v>2583</v>
      </c>
      <c r="F921" s="40" t="s">
        <v>2584</v>
      </c>
      <c r="G921" s="40" t="s">
        <v>1141</v>
      </c>
      <c r="H921" s="40">
        <v>0</v>
      </c>
      <c r="I921" s="37" t="s">
        <v>33</v>
      </c>
      <c r="J921" t="str">
        <f>VLOOKUP(F921,'[1]BASE DE DADOS'!$A:$C,3,0)</f>
        <v>Hiago Vinicius Alves Dos Santos Silva</v>
      </c>
    </row>
    <row r="922" spans="1:10" x14ac:dyDescent="0.25">
      <c r="A922" s="40" t="s">
        <v>2585</v>
      </c>
      <c r="B922" s="41">
        <v>999881972817608</v>
      </c>
      <c r="C922" s="40" t="s">
        <v>40</v>
      </c>
      <c r="D922" s="40" t="s">
        <v>10</v>
      </c>
      <c r="E922" s="40" t="s">
        <v>2586</v>
      </c>
      <c r="F922" s="40" t="s">
        <v>1270</v>
      </c>
      <c r="G922" s="40" t="s">
        <v>1141</v>
      </c>
      <c r="H922" s="40">
        <v>0</v>
      </c>
      <c r="I922" s="37" t="s">
        <v>33</v>
      </c>
      <c r="J922" t="str">
        <f>VLOOKUP(F922,'[1]BASE DE DADOS'!$A:$C,3,0)</f>
        <v xml:space="preserve">Alex Junior Rodrigues dos santos </v>
      </c>
    </row>
    <row r="923" spans="1:10" x14ac:dyDescent="0.25">
      <c r="A923" s="40" t="s">
        <v>2587</v>
      </c>
      <c r="B923" s="41">
        <v>999882021515678</v>
      </c>
      <c r="C923" s="40" t="s">
        <v>43</v>
      </c>
      <c r="D923" s="40" t="s">
        <v>10</v>
      </c>
      <c r="E923" s="40" t="s">
        <v>2588</v>
      </c>
      <c r="F923" s="40" t="s">
        <v>1373</v>
      </c>
      <c r="G923" s="40" t="s">
        <v>1141</v>
      </c>
      <c r="H923" s="40">
        <v>0</v>
      </c>
      <c r="I923" s="37" t="s">
        <v>33</v>
      </c>
      <c r="J923" t="str">
        <f>VLOOKUP(F923,'[1]BASE DE DADOS'!$A:$C,3,0)</f>
        <v>Hiago Vinicius Alves Dos Santos Silva</v>
      </c>
    </row>
    <row r="924" spans="1:10" x14ac:dyDescent="0.25">
      <c r="A924" s="40" t="s">
        <v>2589</v>
      </c>
      <c r="B924" s="41">
        <v>999881976926390</v>
      </c>
      <c r="C924" s="40" t="s">
        <v>41</v>
      </c>
      <c r="D924" s="40" t="s">
        <v>10</v>
      </c>
      <c r="E924" s="40" t="s">
        <v>2590</v>
      </c>
      <c r="F924" s="40" t="s">
        <v>1151</v>
      </c>
      <c r="G924" s="40" t="s">
        <v>1141</v>
      </c>
      <c r="H924" s="40">
        <v>0</v>
      </c>
      <c r="I924" s="37" t="s">
        <v>33</v>
      </c>
      <c r="J924" t="str">
        <f>VLOOKUP(F924,'[1]BASE DE DADOS'!$A:$C,3,0)</f>
        <v>Hiago Vinicius Alves Dos Santos Silva</v>
      </c>
    </row>
    <row r="925" spans="1:10" x14ac:dyDescent="0.25">
      <c r="A925" s="40" t="s">
        <v>2591</v>
      </c>
      <c r="B925" s="41">
        <v>999882014854727</v>
      </c>
      <c r="C925" s="40" t="s">
        <v>40</v>
      </c>
      <c r="D925" s="40" t="s">
        <v>10</v>
      </c>
      <c r="E925" s="40" t="s">
        <v>2443</v>
      </c>
      <c r="F925" s="40" t="s">
        <v>1196</v>
      </c>
      <c r="G925" s="40" t="s">
        <v>1141</v>
      </c>
      <c r="H925" s="40">
        <v>0</v>
      </c>
      <c r="I925" s="37" t="s">
        <v>33</v>
      </c>
      <c r="J925" t="str">
        <f>VLOOKUP(F925,'[1]BASE DE DADOS'!$A:$C,3,0)</f>
        <v xml:space="preserve">Alex Junior Rodrigues dos santos </v>
      </c>
    </row>
    <row r="926" spans="1:10" x14ac:dyDescent="0.25">
      <c r="A926" s="40" t="s">
        <v>2592</v>
      </c>
      <c r="B926" s="41">
        <v>999882031421415</v>
      </c>
      <c r="C926" s="40" t="s">
        <v>43</v>
      </c>
      <c r="D926" s="40" t="s">
        <v>10</v>
      </c>
      <c r="E926" s="40" t="s">
        <v>2593</v>
      </c>
      <c r="F926" s="40" t="s">
        <v>1675</v>
      </c>
      <c r="G926" s="40" t="s">
        <v>1141</v>
      </c>
      <c r="H926" s="40" t="s">
        <v>2594</v>
      </c>
      <c r="I926" s="37" t="s">
        <v>32</v>
      </c>
      <c r="J926" t="str">
        <f>VLOOKUP(F926,'[1]BASE DE DADOS'!$A:$C,3,0)</f>
        <v>Cleber Silvestre Almeida e Silva</v>
      </c>
    </row>
    <row r="927" spans="1:10" x14ac:dyDescent="0.25">
      <c r="A927" s="40" t="s">
        <v>2595</v>
      </c>
      <c r="B927" s="41">
        <v>999881964577896</v>
      </c>
      <c r="C927" s="40" t="s">
        <v>43</v>
      </c>
      <c r="D927" s="40" t="s">
        <v>10</v>
      </c>
      <c r="E927" s="40" t="s">
        <v>2596</v>
      </c>
      <c r="F927" s="40" t="s">
        <v>1529</v>
      </c>
      <c r="G927" s="40" t="s">
        <v>1141</v>
      </c>
      <c r="H927" s="40">
        <v>0</v>
      </c>
      <c r="I927" s="37" t="s">
        <v>33</v>
      </c>
      <c r="J927" t="str">
        <f>VLOOKUP(F927,'[1]BASE DE DADOS'!$A:$C,3,0)</f>
        <v>Cleber Silvestre Almeida e Silva</v>
      </c>
    </row>
    <row r="928" spans="1:10" x14ac:dyDescent="0.25">
      <c r="A928" s="40" t="s">
        <v>2597</v>
      </c>
      <c r="B928" s="41">
        <v>999882033770410</v>
      </c>
      <c r="C928" s="40" t="s">
        <v>41</v>
      </c>
      <c r="D928" s="40" t="s">
        <v>10</v>
      </c>
      <c r="E928" s="40" t="s">
        <v>2598</v>
      </c>
      <c r="F928" s="40" t="s">
        <v>2060</v>
      </c>
      <c r="G928" s="40" t="s">
        <v>1141</v>
      </c>
      <c r="H928" s="40">
        <v>0</v>
      </c>
      <c r="I928" s="37" t="s">
        <v>33</v>
      </c>
      <c r="J928" t="str">
        <f>VLOOKUP(F928,'[1]BASE DE DADOS'!$A:$C,3,0)</f>
        <v xml:space="preserve">Alex Junior Rodrigues dos santos </v>
      </c>
    </row>
    <row r="929" spans="1:10" x14ac:dyDescent="0.25">
      <c r="A929" s="40" t="s">
        <v>2599</v>
      </c>
      <c r="B929" s="41">
        <v>999882008003003</v>
      </c>
      <c r="C929" s="40" t="s">
        <v>40</v>
      </c>
      <c r="D929" s="40" t="s">
        <v>10</v>
      </c>
      <c r="E929" s="40" t="s">
        <v>2600</v>
      </c>
      <c r="F929" s="40" t="s">
        <v>1847</v>
      </c>
      <c r="G929" s="40" t="s">
        <v>1141</v>
      </c>
      <c r="H929" s="40">
        <v>0</v>
      </c>
      <c r="I929" s="37" t="s">
        <v>33</v>
      </c>
      <c r="J929" t="str">
        <f>VLOOKUP(F929,'[1]BASE DE DADOS'!$A:$C,3,0)</f>
        <v xml:space="preserve">Alex Junior Rodrigues dos santos </v>
      </c>
    </row>
    <row r="930" spans="1:10" x14ac:dyDescent="0.25">
      <c r="A930" s="40" t="s">
        <v>2601</v>
      </c>
      <c r="B930" s="41">
        <v>999881927051787</v>
      </c>
      <c r="C930" s="40" t="s">
        <v>43</v>
      </c>
      <c r="D930" s="40" t="s">
        <v>10</v>
      </c>
      <c r="E930" s="40" t="s">
        <v>2602</v>
      </c>
      <c r="F930" s="40" t="s">
        <v>2603</v>
      </c>
      <c r="G930" s="40" t="s">
        <v>1141</v>
      </c>
      <c r="H930" s="40">
        <v>0</v>
      </c>
      <c r="I930" s="37" t="s">
        <v>33</v>
      </c>
      <c r="J930" t="str">
        <f>VLOOKUP(F930,'[1]BASE DE DADOS'!$A:$C,3,0)</f>
        <v>Cleber Silvestre Almeida e Silva</v>
      </c>
    </row>
    <row r="931" spans="1:10" x14ac:dyDescent="0.25">
      <c r="A931" s="40" t="s">
        <v>2604</v>
      </c>
      <c r="B931" s="41">
        <v>999881951573216</v>
      </c>
      <c r="C931" s="40" t="s">
        <v>43</v>
      </c>
      <c r="D931" s="40" t="s">
        <v>10</v>
      </c>
      <c r="E931" s="40" t="s">
        <v>2605</v>
      </c>
      <c r="F931" s="40" t="s">
        <v>2606</v>
      </c>
      <c r="G931" s="40" t="s">
        <v>1141</v>
      </c>
      <c r="H931" s="40">
        <v>0</v>
      </c>
      <c r="I931" s="37" t="s">
        <v>33</v>
      </c>
      <c r="J931" t="str">
        <f>VLOOKUP(F931,'[1]BASE DE DADOS'!$A:$C,3,0)</f>
        <v xml:space="preserve">Alex Junior Rodrigues dos santos </v>
      </c>
    </row>
    <row r="932" spans="1:10" x14ac:dyDescent="0.25">
      <c r="A932" s="40" t="s">
        <v>2607</v>
      </c>
      <c r="B932" s="41">
        <v>999881980206808</v>
      </c>
      <c r="C932" s="40" t="s">
        <v>40</v>
      </c>
      <c r="D932" s="40" t="s">
        <v>10</v>
      </c>
      <c r="E932" s="40" t="s">
        <v>2608</v>
      </c>
      <c r="F932" s="40" t="s">
        <v>1184</v>
      </c>
      <c r="G932" s="40" t="s">
        <v>1141</v>
      </c>
      <c r="H932" s="40" t="s">
        <v>2609</v>
      </c>
      <c r="I932" s="37" t="s">
        <v>32</v>
      </c>
      <c r="J932" t="str">
        <f>VLOOKUP(F932,'[1]BASE DE DADOS'!$A:$C,3,0)</f>
        <v>Cleber Silvestre Almeida e Silva</v>
      </c>
    </row>
    <row r="933" spans="1:10" x14ac:dyDescent="0.25">
      <c r="A933" s="40" t="s">
        <v>2610</v>
      </c>
      <c r="B933" s="41">
        <v>999882011001765</v>
      </c>
      <c r="C933" s="40" t="s">
        <v>40</v>
      </c>
      <c r="D933" s="40" t="s">
        <v>10</v>
      </c>
      <c r="E933" s="40" t="s">
        <v>2611</v>
      </c>
      <c r="F933" s="40" t="s">
        <v>1144</v>
      </c>
      <c r="G933" s="40" t="s">
        <v>1141</v>
      </c>
      <c r="H933" s="40" t="s">
        <v>2612</v>
      </c>
      <c r="I933" s="37" t="s">
        <v>32</v>
      </c>
      <c r="J933" t="str">
        <f>VLOOKUP(F933,'[1]BASE DE DADOS'!$A:$C,3,0)</f>
        <v xml:space="preserve">Alex Junior Rodrigues dos santos </v>
      </c>
    </row>
    <row r="934" spans="1:10" x14ac:dyDescent="0.25">
      <c r="A934" s="40" t="s">
        <v>2613</v>
      </c>
      <c r="B934" s="41">
        <v>999882021279585</v>
      </c>
      <c r="C934" s="40" t="s">
        <v>40</v>
      </c>
      <c r="D934" s="40" t="s">
        <v>10</v>
      </c>
      <c r="E934" s="40" t="s">
        <v>2614</v>
      </c>
      <c r="F934" s="40" t="s">
        <v>1247</v>
      </c>
      <c r="G934" s="40" t="s">
        <v>1141</v>
      </c>
      <c r="H934" s="40">
        <v>0</v>
      </c>
      <c r="I934" s="37" t="s">
        <v>33</v>
      </c>
      <c r="J934" t="str">
        <f>VLOOKUP(F934,'[1]BASE DE DADOS'!$A:$C,3,0)</f>
        <v>Cleber Silvestre Almeida e Silva</v>
      </c>
    </row>
    <row r="935" spans="1:10" x14ac:dyDescent="0.25">
      <c r="A935" s="40" t="s">
        <v>2615</v>
      </c>
      <c r="B935" s="41">
        <v>999881983099517</v>
      </c>
      <c r="C935" s="40" t="s">
        <v>43</v>
      </c>
      <c r="D935" s="40" t="s">
        <v>10</v>
      </c>
      <c r="E935" s="40" t="s">
        <v>2616</v>
      </c>
      <c r="F935" s="40" t="s">
        <v>1151</v>
      </c>
      <c r="G935" s="40" t="s">
        <v>1141</v>
      </c>
      <c r="H935" s="40">
        <v>0</v>
      </c>
      <c r="I935" s="37" t="s">
        <v>33</v>
      </c>
      <c r="J935" t="str">
        <f>VLOOKUP(F935,'[1]BASE DE DADOS'!$A:$C,3,0)</f>
        <v>Hiago Vinicius Alves Dos Santos Silva</v>
      </c>
    </row>
    <row r="936" spans="1:10" x14ac:dyDescent="0.25">
      <c r="A936" s="40" t="s">
        <v>2617</v>
      </c>
      <c r="B936" s="41">
        <v>999882017560838</v>
      </c>
      <c r="C936" s="40" t="s">
        <v>42</v>
      </c>
      <c r="D936" s="40" t="s">
        <v>10</v>
      </c>
      <c r="E936" s="40" t="s">
        <v>2618</v>
      </c>
      <c r="F936" s="40" t="s">
        <v>1144</v>
      </c>
      <c r="G936" s="40" t="s">
        <v>1141</v>
      </c>
      <c r="H936" s="40">
        <v>0</v>
      </c>
      <c r="I936" s="37" t="s">
        <v>33</v>
      </c>
      <c r="J936" t="str">
        <f>VLOOKUP(F936,'[1]BASE DE DADOS'!$A:$C,3,0)</f>
        <v xml:space="preserve">Alex Junior Rodrigues dos santos </v>
      </c>
    </row>
    <row r="937" spans="1:10" x14ac:dyDescent="0.25">
      <c r="A937" s="40" t="s">
        <v>2619</v>
      </c>
      <c r="B937" s="41">
        <v>999882010216697</v>
      </c>
      <c r="C937" s="40" t="s">
        <v>43</v>
      </c>
      <c r="D937" s="40" t="s">
        <v>10</v>
      </c>
      <c r="E937" s="40" t="s">
        <v>2620</v>
      </c>
      <c r="F937" s="40" t="s">
        <v>1243</v>
      </c>
      <c r="G937" s="40" t="s">
        <v>1141</v>
      </c>
      <c r="H937" s="40" t="s">
        <v>2621</v>
      </c>
      <c r="I937" s="37" t="s">
        <v>32</v>
      </c>
      <c r="J937" t="str">
        <f>VLOOKUP(F937,'[1]BASE DE DADOS'!$A:$C,3,0)</f>
        <v>Eduardo Carvalho Vieira dos Santos</v>
      </c>
    </row>
    <row r="938" spans="1:10" x14ac:dyDescent="0.25">
      <c r="A938" s="40" t="s">
        <v>2622</v>
      </c>
      <c r="B938" s="41">
        <v>999881933951909</v>
      </c>
      <c r="C938" s="40" t="s">
        <v>43</v>
      </c>
      <c r="D938" s="40" t="s">
        <v>10</v>
      </c>
      <c r="E938" s="40" t="s">
        <v>2623</v>
      </c>
      <c r="F938" s="40" t="s">
        <v>1529</v>
      </c>
      <c r="G938" s="40" t="s">
        <v>1141</v>
      </c>
      <c r="H938" s="40">
        <v>0</v>
      </c>
      <c r="I938" s="37" t="s">
        <v>33</v>
      </c>
      <c r="J938" t="str">
        <f>VLOOKUP(F938,'[1]BASE DE DADOS'!$A:$C,3,0)</f>
        <v>Cleber Silvestre Almeida e Silva</v>
      </c>
    </row>
    <row r="939" spans="1:10" x14ac:dyDescent="0.25">
      <c r="A939" s="40" t="s">
        <v>2624</v>
      </c>
      <c r="B939" s="41">
        <v>999881993325039</v>
      </c>
      <c r="C939" s="40" t="s">
        <v>43</v>
      </c>
      <c r="D939" s="40" t="s">
        <v>10</v>
      </c>
      <c r="E939" s="40" t="s">
        <v>2625</v>
      </c>
      <c r="F939" s="40" t="s">
        <v>1270</v>
      </c>
      <c r="G939" s="40" t="s">
        <v>1141</v>
      </c>
      <c r="H939" s="40">
        <v>0</v>
      </c>
      <c r="I939" s="37" t="s">
        <v>33</v>
      </c>
      <c r="J939" t="str">
        <f>VLOOKUP(F939,'[1]BASE DE DADOS'!$A:$C,3,0)</f>
        <v xml:space="preserve">Alex Junior Rodrigues dos santos </v>
      </c>
    </row>
    <row r="940" spans="1:10" x14ac:dyDescent="0.25">
      <c r="A940" s="40" t="s">
        <v>2626</v>
      </c>
      <c r="B940" s="41">
        <v>999882028243290</v>
      </c>
      <c r="C940" s="40" t="s">
        <v>41</v>
      </c>
      <c r="D940" s="40" t="s">
        <v>10</v>
      </c>
      <c r="E940" s="40" t="s">
        <v>2627</v>
      </c>
      <c r="F940" s="40" t="s">
        <v>2147</v>
      </c>
      <c r="G940" s="40" t="s">
        <v>1141</v>
      </c>
      <c r="H940" s="40">
        <v>0</v>
      </c>
      <c r="I940" s="37" t="s">
        <v>33</v>
      </c>
      <c r="J940" t="str">
        <f>VLOOKUP(F940,'[1]BASE DE DADOS'!$A:$C,3,0)</f>
        <v>Cleber Silvestre Almeida e Silva</v>
      </c>
    </row>
    <row r="941" spans="1:10" x14ac:dyDescent="0.25">
      <c r="A941" s="40" t="s">
        <v>2628</v>
      </c>
      <c r="B941" s="41">
        <v>999881990734980</v>
      </c>
      <c r="C941" s="40" t="s">
        <v>40</v>
      </c>
      <c r="D941" s="40" t="s">
        <v>10</v>
      </c>
      <c r="E941" s="40" t="s">
        <v>2629</v>
      </c>
      <c r="F941" s="40" t="s">
        <v>1200</v>
      </c>
      <c r="G941" s="40" t="s">
        <v>1141</v>
      </c>
      <c r="H941" s="40">
        <v>0</v>
      </c>
      <c r="I941" s="37" t="s">
        <v>33</v>
      </c>
      <c r="J941" t="str">
        <f>VLOOKUP(F941,'[1]BASE DE DADOS'!$A:$C,3,0)</f>
        <v>Cleber Silvestre Almeida e Silva</v>
      </c>
    </row>
    <row r="942" spans="1:10" x14ac:dyDescent="0.25">
      <c r="A942" s="40" t="s">
        <v>2630</v>
      </c>
      <c r="B942" s="41">
        <v>999881984126796</v>
      </c>
      <c r="C942" s="40" t="s">
        <v>40</v>
      </c>
      <c r="D942" s="40" t="s">
        <v>10</v>
      </c>
      <c r="E942" s="40" t="s">
        <v>2631</v>
      </c>
      <c r="F942" s="40" t="s">
        <v>1254</v>
      </c>
      <c r="G942" s="40" t="s">
        <v>1141</v>
      </c>
      <c r="H942" s="40" t="s">
        <v>2632</v>
      </c>
      <c r="I942" s="37" t="s">
        <v>32</v>
      </c>
      <c r="J942" t="str">
        <f>VLOOKUP(F942,'[1]BASE DE DADOS'!$A:$C,3,0)</f>
        <v>Eduardo Carvalho Vieira dos Santos</v>
      </c>
    </row>
    <row r="943" spans="1:10" x14ac:dyDescent="0.25">
      <c r="A943" s="40" t="s">
        <v>2633</v>
      </c>
      <c r="B943" s="41">
        <v>999881978259690</v>
      </c>
      <c r="C943" s="40" t="s">
        <v>40</v>
      </c>
      <c r="D943" s="40" t="s">
        <v>10</v>
      </c>
      <c r="E943" s="40" t="s">
        <v>2634</v>
      </c>
      <c r="F943" s="40" t="s">
        <v>1472</v>
      </c>
      <c r="G943" s="40" t="s">
        <v>1141</v>
      </c>
      <c r="H943" s="40">
        <v>0</v>
      </c>
      <c r="I943" s="37" t="s">
        <v>33</v>
      </c>
      <c r="J943" t="str">
        <f>VLOOKUP(F943,'[1]BASE DE DADOS'!$A:$C,3,0)</f>
        <v xml:space="preserve">Alex Junior Rodrigues dos santos </v>
      </c>
    </row>
    <row r="944" spans="1:10" x14ac:dyDescent="0.25">
      <c r="A944" s="40" t="s">
        <v>2635</v>
      </c>
      <c r="B944" s="41">
        <v>999881970422245</v>
      </c>
      <c r="C944" s="40" t="s">
        <v>42</v>
      </c>
      <c r="D944" s="40" t="s">
        <v>10</v>
      </c>
      <c r="E944" s="40" t="s">
        <v>2636</v>
      </c>
      <c r="F944" s="40" t="s">
        <v>1144</v>
      </c>
      <c r="G944" s="40" t="s">
        <v>1141</v>
      </c>
      <c r="H944" s="40">
        <v>0</v>
      </c>
      <c r="I944" s="37" t="s">
        <v>33</v>
      </c>
      <c r="J944" t="str">
        <f>VLOOKUP(F944,'[1]BASE DE DADOS'!$A:$C,3,0)</f>
        <v xml:space="preserve">Alex Junior Rodrigues dos santos </v>
      </c>
    </row>
    <row r="945" spans="1:10" x14ac:dyDescent="0.25">
      <c r="A945" s="40" t="s">
        <v>2637</v>
      </c>
      <c r="B945" s="41">
        <v>999881795263965</v>
      </c>
      <c r="C945" s="40" t="s">
        <v>43</v>
      </c>
      <c r="D945" s="40" t="s">
        <v>10</v>
      </c>
      <c r="E945" s="40" t="s">
        <v>2638</v>
      </c>
      <c r="F945" s="40" t="s">
        <v>1236</v>
      </c>
      <c r="G945" s="40" t="s">
        <v>1141</v>
      </c>
      <c r="H945" s="40">
        <v>0</v>
      </c>
      <c r="I945" s="37" t="s">
        <v>33</v>
      </c>
      <c r="J945" t="str">
        <f>VLOOKUP(F945,'[1]BASE DE DADOS'!$A:$C,3,0)</f>
        <v>Eduardo Carvalho Vieira dos Santos</v>
      </c>
    </row>
    <row r="946" spans="1:10" x14ac:dyDescent="0.25">
      <c r="A946" s="40" t="s">
        <v>2639</v>
      </c>
      <c r="B946" s="41">
        <v>999882047259462</v>
      </c>
      <c r="C946" s="40" t="s">
        <v>40</v>
      </c>
      <c r="D946" s="40" t="s">
        <v>10</v>
      </c>
      <c r="E946" s="40" t="s">
        <v>2640</v>
      </c>
      <c r="F946" s="40" t="s">
        <v>1184</v>
      </c>
      <c r="G946" s="40" t="s">
        <v>1141</v>
      </c>
      <c r="H946" s="40" t="s">
        <v>2641</v>
      </c>
      <c r="I946" s="37" t="s">
        <v>32</v>
      </c>
      <c r="J946" t="str">
        <f>VLOOKUP(F946,'[1]BASE DE DADOS'!$A:$C,3,0)</f>
        <v>Cleber Silvestre Almeida e Silva</v>
      </c>
    </row>
    <row r="947" spans="1:10" x14ac:dyDescent="0.25">
      <c r="A947" s="40" t="s">
        <v>2642</v>
      </c>
      <c r="B947" s="41">
        <v>999881997540318</v>
      </c>
      <c r="C947" s="40" t="s">
        <v>40</v>
      </c>
      <c r="D947" s="40" t="s">
        <v>10</v>
      </c>
      <c r="E947" s="40" t="s">
        <v>2643</v>
      </c>
      <c r="F947" s="40" t="s">
        <v>1236</v>
      </c>
      <c r="G947" s="40" t="s">
        <v>1141</v>
      </c>
      <c r="H947" s="40">
        <v>0</v>
      </c>
      <c r="I947" s="37" t="s">
        <v>33</v>
      </c>
      <c r="J947" t="str">
        <f>VLOOKUP(F947,'[1]BASE DE DADOS'!$A:$C,3,0)</f>
        <v>Eduardo Carvalho Vieira dos Santos</v>
      </c>
    </row>
    <row r="948" spans="1:10" x14ac:dyDescent="0.25">
      <c r="A948" s="40" t="s">
        <v>2644</v>
      </c>
      <c r="B948" s="41">
        <v>999882020180963</v>
      </c>
      <c r="C948" s="40" t="s">
        <v>43</v>
      </c>
      <c r="D948" s="40" t="s">
        <v>10</v>
      </c>
      <c r="E948" s="40" t="s">
        <v>2645</v>
      </c>
      <c r="F948" s="40" t="s">
        <v>1165</v>
      </c>
      <c r="G948" s="40" t="s">
        <v>1141</v>
      </c>
      <c r="H948" s="40">
        <v>0</v>
      </c>
      <c r="I948" s="37" t="s">
        <v>33</v>
      </c>
      <c r="J948" t="str">
        <f>VLOOKUP(F948,'[1]BASE DE DADOS'!$A:$C,3,0)</f>
        <v>Eduardo Carvalho Vieira dos Santos</v>
      </c>
    </row>
    <row r="949" spans="1:10" x14ac:dyDescent="0.25">
      <c r="A949" s="40" t="s">
        <v>2646</v>
      </c>
      <c r="B949" s="41">
        <v>999881932279706</v>
      </c>
      <c r="C949" s="40" t="s">
        <v>42</v>
      </c>
      <c r="D949" s="40" t="s">
        <v>10</v>
      </c>
      <c r="E949" s="40" t="s">
        <v>2647</v>
      </c>
      <c r="F949" s="40" t="s">
        <v>1192</v>
      </c>
      <c r="G949" s="40" t="s">
        <v>1141</v>
      </c>
      <c r="H949" s="40">
        <v>0</v>
      </c>
      <c r="I949" s="37" t="s">
        <v>33</v>
      </c>
      <c r="J949" t="str">
        <f>VLOOKUP(F949,'[1]BASE DE DADOS'!$A:$C,3,0)</f>
        <v>Eduardo Carvalho Vieira dos Santos</v>
      </c>
    </row>
    <row r="950" spans="1:10" x14ac:dyDescent="0.25">
      <c r="A950" s="40" t="s">
        <v>2648</v>
      </c>
      <c r="B950" s="41">
        <v>999882016528922</v>
      </c>
      <c r="C950" s="40" t="s">
        <v>40</v>
      </c>
      <c r="D950" s="40" t="s">
        <v>10</v>
      </c>
      <c r="E950" s="40" t="s">
        <v>2649</v>
      </c>
      <c r="F950" s="40" t="s">
        <v>1625</v>
      </c>
      <c r="G950" s="40" t="s">
        <v>1141</v>
      </c>
      <c r="H950" s="40">
        <v>0</v>
      </c>
      <c r="I950" s="37" t="s">
        <v>33</v>
      </c>
      <c r="J950" t="str">
        <f>VLOOKUP(F950,'[1]BASE DE DADOS'!$A:$C,3,0)</f>
        <v>Eduardo Carvalho Vieira dos Santos</v>
      </c>
    </row>
    <row r="951" spans="1:10" x14ac:dyDescent="0.25">
      <c r="A951" s="40" t="s">
        <v>2650</v>
      </c>
      <c r="B951" s="41">
        <v>999881985689908</v>
      </c>
      <c r="C951" s="40" t="s">
        <v>40</v>
      </c>
      <c r="D951" s="40" t="s">
        <v>10</v>
      </c>
      <c r="E951" s="40" t="s">
        <v>2651</v>
      </c>
      <c r="F951" s="40" t="s">
        <v>1820</v>
      </c>
      <c r="G951" s="40" t="s">
        <v>1141</v>
      </c>
      <c r="H951" s="40" t="s">
        <v>2652</v>
      </c>
      <c r="I951" s="37" t="s">
        <v>32</v>
      </c>
      <c r="J951" t="str">
        <f>VLOOKUP(F951,'[1]BASE DE DADOS'!$A:$C,3,0)</f>
        <v>Eduardo Carvalho Vieira dos Santos</v>
      </c>
    </row>
    <row r="952" spans="1:10" x14ac:dyDescent="0.25">
      <c r="A952" s="40" t="s">
        <v>2653</v>
      </c>
      <c r="B952" s="41">
        <v>999881972735745</v>
      </c>
      <c r="C952" s="40" t="s">
        <v>40</v>
      </c>
      <c r="D952" s="40" t="s">
        <v>10</v>
      </c>
      <c r="E952" s="40" t="s">
        <v>2654</v>
      </c>
      <c r="F952" s="40" t="s">
        <v>2655</v>
      </c>
      <c r="G952" s="40" t="s">
        <v>1141</v>
      </c>
      <c r="H952" s="40">
        <v>0</v>
      </c>
      <c r="I952" s="37" t="s">
        <v>33</v>
      </c>
      <c r="J952" t="str">
        <f>VLOOKUP(F952,'[1]BASE DE DADOS'!$A:$C,3,0)</f>
        <v>Cleber Silvestre Almeida e Silva</v>
      </c>
    </row>
    <row r="953" spans="1:10" x14ac:dyDescent="0.25">
      <c r="A953" s="40" t="s">
        <v>2656</v>
      </c>
      <c r="B953" s="41">
        <v>999882009441272</v>
      </c>
      <c r="C953" s="40" t="s">
        <v>40</v>
      </c>
      <c r="D953" s="40" t="s">
        <v>10</v>
      </c>
      <c r="E953" s="40" t="s">
        <v>2657</v>
      </c>
      <c r="F953" s="40" t="s">
        <v>1254</v>
      </c>
      <c r="G953" s="40" t="s">
        <v>1141</v>
      </c>
      <c r="H953" s="40">
        <v>0</v>
      </c>
      <c r="I953" s="37" t="s">
        <v>33</v>
      </c>
      <c r="J953" t="str">
        <f>VLOOKUP(F953,'[1]BASE DE DADOS'!$A:$C,3,0)</f>
        <v>Eduardo Carvalho Vieira dos Santos</v>
      </c>
    </row>
    <row r="954" spans="1:10" x14ac:dyDescent="0.25">
      <c r="A954" s="40" t="s">
        <v>2658</v>
      </c>
      <c r="B954" s="41">
        <v>999881994541799</v>
      </c>
      <c r="C954" s="40" t="s">
        <v>40</v>
      </c>
      <c r="D954" s="40" t="s">
        <v>10</v>
      </c>
      <c r="E954" s="40" t="s">
        <v>2659</v>
      </c>
      <c r="F954" s="40" t="s">
        <v>1247</v>
      </c>
      <c r="G954" s="40" t="s">
        <v>1141</v>
      </c>
      <c r="H954" s="40">
        <v>0</v>
      </c>
      <c r="I954" s="37" t="s">
        <v>33</v>
      </c>
      <c r="J954" t="str">
        <f>VLOOKUP(F954,'[1]BASE DE DADOS'!$A:$C,3,0)</f>
        <v>Cleber Silvestre Almeida e Silva</v>
      </c>
    </row>
    <row r="955" spans="1:10" x14ac:dyDescent="0.25">
      <c r="A955" s="40" t="s">
        <v>2660</v>
      </c>
      <c r="B955" s="41">
        <v>999881918162745</v>
      </c>
      <c r="C955" s="40" t="s">
        <v>43</v>
      </c>
      <c r="D955" s="40" t="s">
        <v>10</v>
      </c>
      <c r="E955" s="40" t="s">
        <v>2661</v>
      </c>
      <c r="F955" s="40" t="s">
        <v>2469</v>
      </c>
      <c r="G955" s="40" t="s">
        <v>1141</v>
      </c>
      <c r="H955" s="40">
        <v>0</v>
      </c>
      <c r="I955" s="37" t="s">
        <v>33</v>
      </c>
      <c r="J955" t="str">
        <f>VLOOKUP(F955,'[1]BASE DE DADOS'!$A:$C,3,0)</f>
        <v xml:space="preserve">Alex Junior Rodrigues dos santos </v>
      </c>
    </row>
    <row r="956" spans="1:10" x14ac:dyDescent="0.25">
      <c r="A956" s="40" t="s">
        <v>2662</v>
      </c>
      <c r="B956" s="41">
        <v>999882037390305</v>
      </c>
      <c r="C956" s="40" t="s">
        <v>43</v>
      </c>
      <c r="D956" s="40" t="s">
        <v>10</v>
      </c>
      <c r="E956" s="40" t="s">
        <v>2663</v>
      </c>
      <c r="F956" s="40" t="s">
        <v>1270</v>
      </c>
      <c r="G956" s="40" t="s">
        <v>1141</v>
      </c>
      <c r="H956" s="40">
        <v>0</v>
      </c>
      <c r="I956" s="37" t="s">
        <v>33</v>
      </c>
      <c r="J956" t="str">
        <f>VLOOKUP(F956,'[1]BASE DE DADOS'!$A:$C,3,0)</f>
        <v xml:space="preserve">Alex Junior Rodrigues dos santos </v>
      </c>
    </row>
    <row r="957" spans="1:10" x14ac:dyDescent="0.25">
      <c r="A957" s="40" t="s">
        <v>2664</v>
      </c>
      <c r="B957" s="41">
        <v>999882030581879</v>
      </c>
      <c r="C957" s="40" t="s">
        <v>43</v>
      </c>
      <c r="D957" s="40" t="s">
        <v>10</v>
      </c>
      <c r="E957" s="40" t="s">
        <v>2665</v>
      </c>
      <c r="F957" s="40" t="s">
        <v>1297</v>
      </c>
      <c r="G957" s="40" t="s">
        <v>1141</v>
      </c>
      <c r="H957" s="40">
        <v>0</v>
      </c>
      <c r="I957" s="37" t="s">
        <v>33</v>
      </c>
      <c r="J957" t="str">
        <f>VLOOKUP(F957,'[1]BASE DE DADOS'!$A:$C,3,0)</f>
        <v>Cleber Silvestre Almeida e Silva</v>
      </c>
    </row>
    <row r="958" spans="1:10" x14ac:dyDescent="0.25">
      <c r="A958" s="40" t="s">
        <v>2666</v>
      </c>
      <c r="B958" s="41">
        <v>999881969008177</v>
      </c>
      <c r="C958" s="40" t="s">
        <v>43</v>
      </c>
      <c r="D958" s="40" t="s">
        <v>10</v>
      </c>
      <c r="E958" s="40" t="s">
        <v>2667</v>
      </c>
      <c r="F958" s="40" t="s">
        <v>1239</v>
      </c>
      <c r="G958" s="40" t="s">
        <v>1141</v>
      </c>
      <c r="H958" s="40">
        <v>0</v>
      </c>
      <c r="I958" s="37" t="s">
        <v>33</v>
      </c>
      <c r="J958" t="str">
        <f>VLOOKUP(F958,'[1]BASE DE DADOS'!$A:$C,3,0)</f>
        <v>Eduardo Carvalho Vieira dos Santos</v>
      </c>
    </row>
    <row r="959" spans="1:10" x14ac:dyDescent="0.25">
      <c r="A959" s="40" t="s">
        <v>2668</v>
      </c>
      <c r="B959" s="41">
        <v>999882023262761</v>
      </c>
      <c r="C959" s="40" t="s">
        <v>40</v>
      </c>
      <c r="D959" s="40" t="s">
        <v>10</v>
      </c>
      <c r="E959" s="40" t="s">
        <v>2669</v>
      </c>
      <c r="F959" s="40" t="s">
        <v>1144</v>
      </c>
      <c r="G959" s="40" t="s">
        <v>1141</v>
      </c>
      <c r="H959" s="40" t="s">
        <v>2670</v>
      </c>
      <c r="I959" s="37" t="s">
        <v>32</v>
      </c>
      <c r="J959" t="str">
        <f>VLOOKUP(F959,'[1]BASE DE DADOS'!$A:$C,3,0)</f>
        <v xml:space="preserve">Alex Junior Rodrigues dos santos </v>
      </c>
    </row>
    <row r="960" spans="1:10" x14ac:dyDescent="0.25">
      <c r="A960" s="40" t="s">
        <v>2671</v>
      </c>
      <c r="B960" s="41">
        <v>999881952286878</v>
      </c>
      <c r="C960" s="40" t="s">
        <v>40</v>
      </c>
      <c r="D960" s="40" t="s">
        <v>10</v>
      </c>
      <c r="E960" s="40" t="s">
        <v>2672</v>
      </c>
      <c r="F960" s="40" t="s">
        <v>1352</v>
      </c>
      <c r="G960" s="40" t="s">
        <v>1141</v>
      </c>
      <c r="H960" s="40" t="s">
        <v>2673</v>
      </c>
      <c r="I960" s="37" t="s">
        <v>32</v>
      </c>
      <c r="J960" t="str">
        <f>VLOOKUP(F960,'[1]BASE DE DADOS'!$A:$C,3,0)</f>
        <v>Hiago Vinicius Alves Dos Santos Silva</v>
      </c>
    </row>
    <row r="961" spans="1:10" x14ac:dyDescent="0.25">
      <c r="A961" s="40" t="s">
        <v>2674</v>
      </c>
      <c r="B961" s="41">
        <v>999881947668448</v>
      </c>
      <c r="C961" s="40" t="s">
        <v>41</v>
      </c>
      <c r="D961" s="40" t="s">
        <v>10</v>
      </c>
      <c r="E961" s="40" t="s">
        <v>2675</v>
      </c>
      <c r="F961" s="40" t="s">
        <v>2676</v>
      </c>
      <c r="G961" s="40" t="s">
        <v>1141</v>
      </c>
      <c r="H961" s="40">
        <v>0</v>
      </c>
      <c r="I961" s="37" t="s">
        <v>33</v>
      </c>
      <c r="J961" t="str">
        <f>VLOOKUP(F961,'[1]BASE DE DADOS'!$A:$C,3,0)</f>
        <v>Cleber Silvestre Almeida e Silva</v>
      </c>
    </row>
    <row r="962" spans="1:10" x14ac:dyDescent="0.25">
      <c r="A962" s="40" t="s">
        <v>2677</v>
      </c>
      <c r="B962" s="41">
        <v>999881879269760</v>
      </c>
      <c r="C962" s="40" t="s">
        <v>42</v>
      </c>
      <c r="D962" s="40" t="s">
        <v>10</v>
      </c>
      <c r="E962" s="40" t="s">
        <v>2678</v>
      </c>
      <c r="F962" s="40" t="s">
        <v>1144</v>
      </c>
      <c r="G962" s="40" t="s">
        <v>1141</v>
      </c>
      <c r="H962" s="40">
        <v>0</v>
      </c>
      <c r="I962" s="37" t="s">
        <v>33</v>
      </c>
      <c r="J962" t="str">
        <f>VLOOKUP(F962,'[1]BASE DE DADOS'!$A:$C,3,0)</f>
        <v xml:space="preserve">Alex Junior Rodrigues dos santos </v>
      </c>
    </row>
    <row r="963" spans="1:10" x14ac:dyDescent="0.25">
      <c r="A963" s="40" t="s">
        <v>2679</v>
      </c>
      <c r="B963" s="41">
        <v>999882016075006</v>
      </c>
      <c r="C963" s="40" t="s">
        <v>40</v>
      </c>
      <c r="D963" s="40" t="s">
        <v>10</v>
      </c>
      <c r="E963" s="40" t="s">
        <v>2680</v>
      </c>
      <c r="F963" s="40" t="s">
        <v>1140</v>
      </c>
      <c r="G963" s="40" t="s">
        <v>1141</v>
      </c>
      <c r="H963" s="40">
        <v>0</v>
      </c>
      <c r="I963" s="37" t="s">
        <v>33</v>
      </c>
      <c r="J963" t="str">
        <f>VLOOKUP(F963,'[1]BASE DE DADOS'!$A:$C,3,0)</f>
        <v xml:space="preserve">Alex Junior Rodrigues dos santos </v>
      </c>
    </row>
    <row r="964" spans="1:10" x14ac:dyDescent="0.25">
      <c r="A964" s="40" t="s">
        <v>2681</v>
      </c>
      <c r="B964" s="41">
        <v>999882007658960</v>
      </c>
      <c r="C964" s="40" t="s">
        <v>43</v>
      </c>
      <c r="D964" s="40" t="s">
        <v>10</v>
      </c>
      <c r="E964" s="40" t="s">
        <v>2682</v>
      </c>
      <c r="F964" s="40" t="s">
        <v>1820</v>
      </c>
      <c r="G964" s="40" t="s">
        <v>1141</v>
      </c>
      <c r="H964" s="40">
        <v>0</v>
      </c>
      <c r="I964" s="37" t="s">
        <v>33</v>
      </c>
      <c r="J964" t="str">
        <f>VLOOKUP(F964,'[1]BASE DE DADOS'!$A:$C,3,0)</f>
        <v>Eduardo Carvalho Vieira dos Santos</v>
      </c>
    </row>
    <row r="965" spans="1:10" x14ac:dyDescent="0.25">
      <c r="A965" s="40" t="s">
        <v>2683</v>
      </c>
      <c r="B965" s="41">
        <v>999882008425125</v>
      </c>
      <c r="C965" s="40" t="s">
        <v>41</v>
      </c>
      <c r="D965" s="40" t="s">
        <v>10</v>
      </c>
      <c r="E965" s="40" t="s">
        <v>2684</v>
      </c>
      <c r="F965" s="40" t="s">
        <v>2060</v>
      </c>
      <c r="G965" s="40" t="s">
        <v>1141</v>
      </c>
      <c r="H965" s="40">
        <v>0</v>
      </c>
      <c r="I965" s="37" t="s">
        <v>33</v>
      </c>
      <c r="J965" t="str">
        <f>VLOOKUP(F965,'[1]BASE DE DADOS'!$A:$C,3,0)</f>
        <v xml:space="preserve">Alex Junior Rodrigues dos santos </v>
      </c>
    </row>
    <row r="966" spans="1:10" x14ac:dyDescent="0.25">
      <c r="A966" s="40" t="s">
        <v>2685</v>
      </c>
      <c r="B966" s="41">
        <v>999882004943127</v>
      </c>
      <c r="C966" s="40" t="s">
        <v>40</v>
      </c>
      <c r="D966" s="40" t="s">
        <v>10</v>
      </c>
      <c r="E966" s="40" t="s">
        <v>2686</v>
      </c>
      <c r="F966" s="40" t="s">
        <v>1165</v>
      </c>
      <c r="G966" s="40" t="s">
        <v>1141</v>
      </c>
      <c r="H966" s="40">
        <v>0</v>
      </c>
      <c r="I966" s="37" t="s">
        <v>33</v>
      </c>
      <c r="J966" t="str">
        <f>VLOOKUP(F966,'[1]BASE DE DADOS'!$A:$C,3,0)</f>
        <v>Eduardo Carvalho Vieira dos Santos</v>
      </c>
    </row>
    <row r="967" spans="1:10" x14ac:dyDescent="0.25">
      <c r="A967" s="40" t="s">
        <v>2687</v>
      </c>
      <c r="B967" s="41">
        <v>999881950513191</v>
      </c>
      <c r="C967" s="40" t="s">
        <v>43</v>
      </c>
      <c r="D967" s="40" t="s">
        <v>10</v>
      </c>
      <c r="E967" s="40" t="s">
        <v>2688</v>
      </c>
      <c r="F967" s="40" t="s">
        <v>1790</v>
      </c>
      <c r="G967" s="40" t="s">
        <v>1141</v>
      </c>
      <c r="H967" s="40" t="s">
        <v>2689</v>
      </c>
      <c r="I967" s="37" t="s">
        <v>32</v>
      </c>
      <c r="J967" t="str">
        <f>VLOOKUP(F967,'[1]BASE DE DADOS'!$A:$C,3,0)</f>
        <v>Cleber Silvestre Almeida e Silva</v>
      </c>
    </row>
    <row r="968" spans="1:10" x14ac:dyDescent="0.25">
      <c r="A968" s="40" t="s">
        <v>2690</v>
      </c>
      <c r="B968" s="41">
        <v>999881978784477</v>
      </c>
      <c r="C968" s="40" t="s">
        <v>42</v>
      </c>
      <c r="D968" s="40" t="s">
        <v>10</v>
      </c>
      <c r="E968" s="40" t="s">
        <v>2691</v>
      </c>
      <c r="F968" s="40" t="s">
        <v>1184</v>
      </c>
      <c r="G968" s="40" t="s">
        <v>1141</v>
      </c>
      <c r="H968" s="40">
        <v>0</v>
      </c>
      <c r="I968" s="37" t="s">
        <v>33</v>
      </c>
      <c r="J968" t="str">
        <f>VLOOKUP(F968,'[1]BASE DE DADOS'!$A:$C,3,0)</f>
        <v>Cleber Silvestre Almeida e Silva</v>
      </c>
    </row>
    <row r="969" spans="1:10" x14ac:dyDescent="0.25">
      <c r="A969" s="40" t="s">
        <v>2692</v>
      </c>
      <c r="B969" s="41">
        <v>999882025055375</v>
      </c>
      <c r="C969" s="40" t="s">
        <v>43</v>
      </c>
      <c r="D969" s="40" t="s">
        <v>10</v>
      </c>
      <c r="E969" s="40" t="s">
        <v>2693</v>
      </c>
      <c r="F969" s="40" t="s">
        <v>1529</v>
      </c>
      <c r="G969" s="40" t="s">
        <v>1141</v>
      </c>
      <c r="H969" s="40">
        <v>0</v>
      </c>
      <c r="I969" s="37" t="s">
        <v>33</v>
      </c>
      <c r="J969" t="str">
        <f>VLOOKUP(F969,'[1]BASE DE DADOS'!$A:$C,3,0)</f>
        <v>Cleber Silvestre Almeida e Silva</v>
      </c>
    </row>
    <row r="970" spans="1:10" x14ac:dyDescent="0.25">
      <c r="A970" s="40" t="s">
        <v>2694</v>
      </c>
      <c r="B970" s="41">
        <v>999881998478405</v>
      </c>
      <c r="C970" s="40" t="s">
        <v>41</v>
      </c>
      <c r="D970" s="40" t="s">
        <v>10</v>
      </c>
      <c r="E970" s="40" t="s">
        <v>2695</v>
      </c>
      <c r="F970" s="40" t="s">
        <v>2696</v>
      </c>
      <c r="G970" s="40" t="s">
        <v>1141</v>
      </c>
      <c r="H970" s="40">
        <v>0</v>
      </c>
      <c r="I970" s="37" t="s">
        <v>33</v>
      </c>
      <c r="J970" t="str">
        <f>VLOOKUP(F970,'[1]BASE DE DADOS'!$A:$C,3,0)</f>
        <v>Cleber Silvestre Almeida e Silva</v>
      </c>
    </row>
    <row r="971" spans="1:10" x14ac:dyDescent="0.25">
      <c r="A971" s="40" t="s">
        <v>2697</v>
      </c>
      <c r="B971" s="41">
        <v>999881983837589</v>
      </c>
      <c r="C971" s="40" t="s">
        <v>42</v>
      </c>
      <c r="D971" s="40" t="s">
        <v>10</v>
      </c>
      <c r="E971" s="40" t="s">
        <v>2698</v>
      </c>
      <c r="F971" s="40" t="s">
        <v>1140</v>
      </c>
      <c r="G971" s="40" t="s">
        <v>1141</v>
      </c>
      <c r="H971" s="40">
        <v>0</v>
      </c>
      <c r="I971" s="37" t="s">
        <v>33</v>
      </c>
      <c r="J971" t="str">
        <f>VLOOKUP(F971,'[1]BASE DE DADOS'!$A:$C,3,0)</f>
        <v xml:space="preserve">Alex Junior Rodrigues dos santos </v>
      </c>
    </row>
    <row r="972" spans="1:10" x14ac:dyDescent="0.25">
      <c r="A972" s="40" t="s">
        <v>2699</v>
      </c>
      <c r="B972" s="41">
        <v>999881966791446</v>
      </c>
      <c r="C972" s="40" t="s">
        <v>43</v>
      </c>
      <c r="D972" s="40" t="s">
        <v>10</v>
      </c>
      <c r="E972" s="40" t="s">
        <v>2700</v>
      </c>
      <c r="F972" s="40" t="s">
        <v>1270</v>
      </c>
      <c r="G972" s="40" t="s">
        <v>1141</v>
      </c>
      <c r="H972" s="40" t="s">
        <v>2701</v>
      </c>
      <c r="I972" s="37" t="s">
        <v>32</v>
      </c>
      <c r="J972" t="str">
        <f>VLOOKUP(F972,'[1]BASE DE DADOS'!$A:$C,3,0)</f>
        <v xml:space="preserve">Alex Junior Rodrigues dos santos </v>
      </c>
    </row>
    <row r="973" spans="1:10" x14ac:dyDescent="0.25">
      <c r="A973" s="40" t="s">
        <v>2702</v>
      </c>
      <c r="B973" s="41">
        <v>999881972404536</v>
      </c>
      <c r="C973" s="40" t="s">
        <v>43</v>
      </c>
      <c r="D973" s="40" t="s">
        <v>10</v>
      </c>
      <c r="E973" s="40" t="s">
        <v>2703</v>
      </c>
      <c r="F973" s="40" t="s">
        <v>1297</v>
      </c>
      <c r="G973" s="40" t="s">
        <v>1141</v>
      </c>
      <c r="H973" s="40">
        <v>0</v>
      </c>
      <c r="I973" s="37" t="s">
        <v>33</v>
      </c>
      <c r="J973" t="str">
        <f>VLOOKUP(F973,'[1]BASE DE DADOS'!$A:$C,3,0)</f>
        <v>Cleber Silvestre Almeida e Silva</v>
      </c>
    </row>
    <row r="974" spans="1:10" x14ac:dyDescent="0.25">
      <c r="A974" s="40" t="s">
        <v>2704</v>
      </c>
      <c r="B974" s="41">
        <v>999881998385065</v>
      </c>
      <c r="C974" s="40" t="s">
        <v>43</v>
      </c>
      <c r="D974" s="40" t="s">
        <v>10</v>
      </c>
      <c r="E974" s="40" t="s">
        <v>2705</v>
      </c>
      <c r="F974" s="40" t="s">
        <v>1200</v>
      </c>
      <c r="G974" s="40" t="s">
        <v>1141</v>
      </c>
      <c r="H974" s="40">
        <v>0</v>
      </c>
      <c r="I974" s="37" t="s">
        <v>33</v>
      </c>
      <c r="J974" t="str">
        <f>VLOOKUP(F974,'[1]BASE DE DADOS'!$A:$C,3,0)</f>
        <v>Cleber Silvestre Almeida e Silva</v>
      </c>
    </row>
    <row r="975" spans="1:10" x14ac:dyDescent="0.25">
      <c r="A975" s="40" t="s">
        <v>2706</v>
      </c>
      <c r="B975" s="41">
        <v>999881999308025</v>
      </c>
      <c r="C975" s="40" t="s">
        <v>40</v>
      </c>
      <c r="D975" s="40" t="s">
        <v>10</v>
      </c>
      <c r="E975" s="40" t="s">
        <v>2707</v>
      </c>
      <c r="F975" s="40" t="s">
        <v>1144</v>
      </c>
      <c r="G975" s="40" t="s">
        <v>1141</v>
      </c>
      <c r="H975" s="40">
        <v>0</v>
      </c>
      <c r="I975" s="37" t="s">
        <v>33</v>
      </c>
      <c r="J975" t="str">
        <f>VLOOKUP(F975,'[1]BASE DE DADOS'!$A:$C,3,0)</f>
        <v xml:space="preserve">Alex Junior Rodrigues dos santos </v>
      </c>
    </row>
    <row r="976" spans="1:10" x14ac:dyDescent="0.25">
      <c r="A976" s="40" t="s">
        <v>2708</v>
      </c>
      <c r="B976" s="41">
        <v>999881997099425</v>
      </c>
      <c r="C976" s="40" t="s">
        <v>43</v>
      </c>
      <c r="D976" s="40" t="s">
        <v>10</v>
      </c>
      <c r="E976" s="40" t="s">
        <v>2709</v>
      </c>
      <c r="F976" s="40" t="s">
        <v>1297</v>
      </c>
      <c r="G976" s="40" t="s">
        <v>1141</v>
      </c>
      <c r="H976" s="40">
        <v>0</v>
      </c>
      <c r="I976" s="37" t="s">
        <v>33</v>
      </c>
      <c r="J976" t="str">
        <f>VLOOKUP(F976,'[1]BASE DE DADOS'!$A:$C,3,0)</f>
        <v>Cleber Silvestre Almeida e Silva</v>
      </c>
    </row>
    <row r="977" spans="1:10" x14ac:dyDescent="0.25">
      <c r="A977" s="40" t="s">
        <v>2710</v>
      </c>
      <c r="B977" s="41">
        <v>999881843841584</v>
      </c>
      <c r="C977" s="40" t="s">
        <v>43</v>
      </c>
      <c r="D977" s="40" t="s">
        <v>10</v>
      </c>
      <c r="E977" s="40" t="s">
        <v>2711</v>
      </c>
      <c r="F977" s="40" t="s">
        <v>1408</v>
      </c>
      <c r="G977" s="40" t="s">
        <v>1141</v>
      </c>
      <c r="H977" s="40">
        <v>0</v>
      </c>
      <c r="I977" s="37" t="s">
        <v>33</v>
      </c>
      <c r="J977" t="str">
        <f>VLOOKUP(F977,'[1]BASE DE DADOS'!$A:$C,3,0)</f>
        <v>Hiago Vinicius Alves Dos Santos Silva</v>
      </c>
    </row>
    <row r="978" spans="1:10" x14ac:dyDescent="0.25">
      <c r="A978" s="40" t="s">
        <v>2712</v>
      </c>
      <c r="B978" s="41">
        <v>999881984690035</v>
      </c>
      <c r="C978" s="40" t="s">
        <v>43</v>
      </c>
      <c r="D978" s="40" t="s">
        <v>10</v>
      </c>
      <c r="E978" s="40" t="s">
        <v>2713</v>
      </c>
      <c r="F978" s="40" t="s">
        <v>1352</v>
      </c>
      <c r="G978" s="40" t="s">
        <v>1141</v>
      </c>
      <c r="H978" s="40">
        <v>0</v>
      </c>
      <c r="I978" s="37" t="s">
        <v>33</v>
      </c>
      <c r="J978" t="str">
        <f>VLOOKUP(F978,'[1]BASE DE DADOS'!$A:$C,3,0)</f>
        <v>Hiago Vinicius Alves Dos Santos Silva</v>
      </c>
    </row>
    <row r="979" spans="1:10" x14ac:dyDescent="0.25">
      <c r="A979" s="40" t="s">
        <v>2714</v>
      </c>
      <c r="B979" s="41">
        <v>999882037694967</v>
      </c>
      <c r="C979" s="40" t="s">
        <v>41</v>
      </c>
      <c r="D979" s="40" t="s">
        <v>10</v>
      </c>
      <c r="E979" s="40" t="s">
        <v>2715</v>
      </c>
      <c r="F979" s="40" t="s">
        <v>2716</v>
      </c>
      <c r="G979" s="40" t="s">
        <v>1141</v>
      </c>
      <c r="H979" s="40">
        <v>0</v>
      </c>
      <c r="I979" s="37" t="s">
        <v>33</v>
      </c>
      <c r="J979" t="str">
        <f>VLOOKUP(F979,'[1]BASE DE DADOS'!$A:$C,3,0)</f>
        <v>Cleber Silvestre Almeida e Silva</v>
      </c>
    </row>
    <row r="980" spans="1:10" x14ac:dyDescent="0.25">
      <c r="A980" s="40" t="s">
        <v>2717</v>
      </c>
      <c r="B980" s="41">
        <v>999881952941915</v>
      </c>
      <c r="C980" s="40" t="s">
        <v>43</v>
      </c>
      <c r="D980" s="40" t="s">
        <v>10</v>
      </c>
      <c r="E980" s="40" t="s">
        <v>2718</v>
      </c>
      <c r="F980" s="40" t="s">
        <v>1140</v>
      </c>
      <c r="G980" s="40" t="s">
        <v>1141</v>
      </c>
      <c r="H980" s="40">
        <v>0</v>
      </c>
      <c r="I980" s="37" t="s">
        <v>33</v>
      </c>
      <c r="J980" t="str">
        <f>VLOOKUP(F980,'[1]BASE DE DADOS'!$A:$C,3,0)</f>
        <v xml:space="preserve">Alex Junior Rodrigues dos santos </v>
      </c>
    </row>
    <row r="981" spans="1:10" x14ac:dyDescent="0.25">
      <c r="A981" s="40" t="s">
        <v>2719</v>
      </c>
      <c r="B981" s="41">
        <v>999881932926298</v>
      </c>
      <c r="C981" s="40" t="s">
        <v>43</v>
      </c>
      <c r="D981" s="40" t="s">
        <v>10</v>
      </c>
      <c r="E981" s="40" t="s">
        <v>2720</v>
      </c>
      <c r="F981" s="40" t="s">
        <v>1236</v>
      </c>
      <c r="G981" s="40" t="s">
        <v>1141</v>
      </c>
      <c r="H981" s="40">
        <v>0</v>
      </c>
      <c r="I981" s="37" t="s">
        <v>33</v>
      </c>
      <c r="J981" t="str">
        <f>VLOOKUP(F981,'[1]BASE DE DADOS'!$A:$C,3,0)</f>
        <v>Eduardo Carvalho Vieira dos Santos</v>
      </c>
    </row>
    <row r="982" spans="1:10" x14ac:dyDescent="0.25">
      <c r="A982" s="40" t="s">
        <v>2721</v>
      </c>
      <c r="B982" s="41">
        <v>999881975070933</v>
      </c>
      <c r="C982" s="40" t="s">
        <v>40</v>
      </c>
      <c r="D982" s="40" t="s">
        <v>10</v>
      </c>
      <c r="E982" s="40" t="s">
        <v>2722</v>
      </c>
      <c r="F982" s="40" t="s">
        <v>1144</v>
      </c>
      <c r="G982" s="40" t="s">
        <v>1141</v>
      </c>
      <c r="H982" s="40">
        <v>0</v>
      </c>
      <c r="I982" s="37" t="s">
        <v>33</v>
      </c>
      <c r="J982" t="str">
        <f>VLOOKUP(F982,'[1]BASE DE DADOS'!$A:$C,3,0)</f>
        <v xml:space="preserve">Alex Junior Rodrigues dos santos </v>
      </c>
    </row>
    <row r="983" spans="1:10" x14ac:dyDescent="0.25">
      <c r="A983" s="40" t="s">
        <v>2723</v>
      </c>
      <c r="B983" s="41">
        <v>999882001283375</v>
      </c>
      <c r="C983" s="40" t="s">
        <v>43</v>
      </c>
      <c r="D983" s="40" t="s">
        <v>10</v>
      </c>
      <c r="E983" s="40" t="s">
        <v>2724</v>
      </c>
      <c r="F983" s="40" t="s">
        <v>1274</v>
      </c>
      <c r="G983" s="40" t="s">
        <v>1141</v>
      </c>
      <c r="H983" s="40">
        <v>0</v>
      </c>
      <c r="I983" s="37" t="s">
        <v>33</v>
      </c>
      <c r="J983" t="str">
        <f>VLOOKUP(F983,'[1]BASE DE DADOS'!$A:$C,3,0)</f>
        <v>Hiago Vinicius Alves Dos Santos Silva</v>
      </c>
    </row>
    <row r="984" spans="1:10" x14ac:dyDescent="0.25">
      <c r="A984" s="40" t="s">
        <v>2725</v>
      </c>
      <c r="B984" s="41">
        <v>999882011605985</v>
      </c>
      <c r="C984" s="40" t="s">
        <v>40</v>
      </c>
      <c r="D984" s="40" t="s">
        <v>10</v>
      </c>
      <c r="E984" s="40" t="s">
        <v>2726</v>
      </c>
      <c r="F984" s="40" t="s">
        <v>1270</v>
      </c>
      <c r="G984" s="40" t="s">
        <v>1141</v>
      </c>
      <c r="H984" s="40">
        <v>0</v>
      </c>
      <c r="I984" s="37" t="s">
        <v>33</v>
      </c>
      <c r="J984" t="str">
        <f>VLOOKUP(F984,'[1]BASE DE DADOS'!$A:$C,3,0)</f>
        <v xml:space="preserve">Alex Junior Rodrigues dos santos </v>
      </c>
    </row>
    <row r="985" spans="1:10" x14ac:dyDescent="0.25">
      <c r="A985" s="40" t="s">
        <v>2727</v>
      </c>
      <c r="B985" s="41">
        <v>999882035703504</v>
      </c>
      <c r="C985" s="40" t="s">
        <v>43</v>
      </c>
      <c r="D985" s="40" t="s">
        <v>10</v>
      </c>
      <c r="E985" s="40" t="s">
        <v>2728</v>
      </c>
      <c r="F985" s="40" t="s">
        <v>1352</v>
      </c>
      <c r="G985" s="40" t="s">
        <v>1141</v>
      </c>
      <c r="H985" s="40">
        <v>0</v>
      </c>
      <c r="I985" s="37" t="s">
        <v>33</v>
      </c>
      <c r="J985" t="str">
        <f>VLOOKUP(F985,'[1]BASE DE DADOS'!$A:$C,3,0)</f>
        <v>Hiago Vinicius Alves Dos Santos Silva</v>
      </c>
    </row>
    <row r="986" spans="1:10" x14ac:dyDescent="0.25">
      <c r="A986" s="40" t="s">
        <v>2729</v>
      </c>
      <c r="B986" s="41">
        <v>999881964879603</v>
      </c>
      <c r="C986" s="40" t="s">
        <v>43</v>
      </c>
      <c r="D986" s="40" t="s">
        <v>10</v>
      </c>
      <c r="E986" s="40" t="s">
        <v>2730</v>
      </c>
      <c r="F986" s="40" t="s">
        <v>1616</v>
      </c>
      <c r="G986" s="40" t="s">
        <v>1141</v>
      </c>
      <c r="H986" s="40">
        <v>0</v>
      </c>
      <c r="I986" s="37" t="s">
        <v>33</v>
      </c>
      <c r="J986" t="str">
        <f>VLOOKUP(F986,'[1]BASE DE DADOS'!$A:$C,3,0)</f>
        <v>Cleber Silvestre Almeida e Silva</v>
      </c>
    </row>
    <row r="987" spans="1:10" x14ac:dyDescent="0.25">
      <c r="A987" s="40" t="s">
        <v>2731</v>
      </c>
      <c r="B987" s="41">
        <v>999881970904857</v>
      </c>
      <c r="C987" s="40" t="s">
        <v>42</v>
      </c>
      <c r="D987" s="40" t="s">
        <v>10</v>
      </c>
      <c r="E987" s="40" t="s">
        <v>2732</v>
      </c>
      <c r="F987" s="40" t="s">
        <v>1578</v>
      </c>
      <c r="G987" s="40" t="s">
        <v>1141</v>
      </c>
      <c r="H987" s="40" t="s">
        <v>2733</v>
      </c>
      <c r="I987" s="37" t="s">
        <v>32</v>
      </c>
      <c r="J987" t="str">
        <f>VLOOKUP(F987,'[1]BASE DE DADOS'!$A:$C,3,0)</f>
        <v>Hiago Vinicius Alves Dos Santos Silva</v>
      </c>
    </row>
    <row r="988" spans="1:10" x14ac:dyDescent="0.25">
      <c r="A988" s="40" t="s">
        <v>2734</v>
      </c>
      <c r="B988" s="41">
        <v>999882015875299</v>
      </c>
      <c r="C988" s="40" t="s">
        <v>43</v>
      </c>
      <c r="D988" s="40" t="s">
        <v>10</v>
      </c>
      <c r="E988" s="40" t="s">
        <v>2735</v>
      </c>
      <c r="F988" s="40" t="s">
        <v>1176</v>
      </c>
      <c r="G988" s="40" t="s">
        <v>1141</v>
      </c>
      <c r="H988" s="40" t="s">
        <v>2736</v>
      </c>
      <c r="I988" s="37" t="s">
        <v>32</v>
      </c>
      <c r="J988" t="str">
        <f>VLOOKUP(F988,'[1]BASE DE DADOS'!$A:$C,3,0)</f>
        <v>Cleber Silvestre Almeida e Silva</v>
      </c>
    </row>
    <row r="989" spans="1:10" x14ac:dyDescent="0.25">
      <c r="A989" s="40" t="s">
        <v>2737</v>
      </c>
      <c r="B989" s="41">
        <v>999882013837852</v>
      </c>
      <c r="C989" s="40" t="s">
        <v>43</v>
      </c>
      <c r="D989" s="40" t="s">
        <v>10</v>
      </c>
      <c r="E989" s="40" t="s">
        <v>2738</v>
      </c>
      <c r="F989" s="40" t="s">
        <v>1151</v>
      </c>
      <c r="G989" s="40" t="s">
        <v>1141</v>
      </c>
      <c r="H989" s="40">
        <v>0</v>
      </c>
      <c r="I989" s="37" t="s">
        <v>33</v>
      </c>
      <c r="J989" t="str">
        <f>VLOOKUP(F989,'[1]BASE DE DADOS'!$A:$C,3,0)</f>
        <v>Hiago Vinicius Alves Dos Santos Silva</v>
      </c>
    </row>
    <row r="990" spans="1:10" x14ac:dyDescent="0.25">
      <c r="A990" s="40" t="s">
        <v>2739</v>
      </c>
      <c r="B990" s="41">
        <v>999881939964332</v>
      </c>
      <c r="C990" s="40" t="s">
        <v>41</v>
      </c>
      <c r="D990" s="40" t="s">
        <v>10</v>
      </c>
      <c r="E990" s="40" t="s">
        <v>2740</v>
      </c>
      <c r="F990" s="40" t="s">
        <v>1225</v>
      </c>
      <c r="G990" s="40" t="s">
        <v>1141</v>
      </c>
      <c r="H990" s="40">
        <v>0</v>
      </c>
      <c r="I990" s="37" t="s">
        <v>33</v>
      </c>
      <c r="J990" t="str">
        <f>VLOOKUP(F990,'[1]BASE DE DADOS'!$A:$C,3,0)</f>
        <v>Eduardo Carvalho Vieira dos Santos</v>
      </c>
    </row>
    <row r="991" spans="1:10" x14ac:dyDescent="0.25">
      <c r="A991" s="40" t="s">
        <v>2741</v>
      </c>
      <c r="B991" s="41">
        <v>999881995148123</v>
      </c>
      <c r="C991" s="40" t="s">
        <v>43</v>
      </c>
      <c r="D991" s="40" t="s">
        <v>10</v>
      </c>
      <c r="E991" s="40" t="s">
        <v>2742</v>
      </c>
      <c r="F991" s="40" t="s">
        <v>1232</v>
      </c>
      <c r="G991" s="40" t="s">
        <v>1141</v>
      </c>
      <c r="H991" s="40">
        <v>0</v>
      </c>
      <c r="I991" s="37" t="s">
        <v>33</v>
      </c>
      <c r="J991" t="str">
        <f>VLOOKUP(F991,'[1]BASE DE DADOS'!$A:$C,3,0)</f>
        <v>Eduardo Carvalho Vieira dos Santos</v>
      </c>
    </row>
    <row r="992" spans="1:10" x14ac:dyDescent="0.25">
      <c r="A992" s="40" t="s">
        <v>2743</v>
      </c>
      <c r="B992" s="41">
        <v>999882037982566</v>
      </c>
      <c r="C992" s="40" t="s">
        <v>40</v>
      </c>
      <c r="D992" s="40" t="s">
        <v>10</v>
      </c>
      <c r="E992" s="40" t="s">
        <v>2744</v>
      </c>
      <c r="F992" s="40" t="s">
        <v>1165</v>
      </c>
      <c r="G992" s="40" t="s">
        <v>1141</v>
      </c>
      <c r="H992" s="40" t="s">
        <v>2745</v>
      </c>
      <c r="I992" s="37" t="s">
        <v>32</v>
      </c>
      <c r="J992" t="str">
        <f>VLOOKUP(F992,'[1]BASE DE DADOS'!$A:$C,3,0)</f>
        <v>Eduardo Carvalho Vieira dos Santos</v>
      </c>
    </row>
    <row r="993" spans="1:10" x14ac:dyDescent="0.25">
      <c r="A993" s="40" t="s">
        <v>2746</v>
      </c>
      <c r="B993" s="41">
        <v>999881949648286</v>
      </c>
      <c r="C993" s="40" t="s">
        <v>43</v>
      </c>
      <c r="D993" s="40" t="s">
        <v>10</v>
      </c>
      <c r="E993" s="40" t="s">
        <v>2747</v>
      </c>
      <c r="F993" s="40" t="s">
        <v>2748</v>
      </c>
      <c r="G993" s="40" t="s">
        <v>1141</v>
      </c>
      <c r="H993" s="40">
        <v>0</v>
      </c>
      <c r="I993" s="37" t="s">
        <v>33</v>
      </c>
      <c r="J993" t="str">
        <f>VLOOKUP(F993,'[1]BASE DE DADOS'!$A:$C,3,0)</f>
        <v xml:space="preserve">Alex Junior Rodrigues dos santos </v>
      </c>
    </row>
    <row r="994" spans="1:10" x14ac:dyDescent="0.25">
      <c r="A994" s="40" t="s">
        <v>2749</v>
      </c>
      <c r="B994" s="41">
        <v>999882023316199</v>
      </c>
      <c r="C994" s="40" t="s">
        <v>43</v>
      </c>
      <c r="D994" s="40" t="s">
        <v>10</v>
      </c>
      <c r="E994" s="40" t="s">
        <v>2750</v>
      </c>
      <c r="F994" s="40" t="s">
        <v>2606</v>
      </c>
      <c r="G994" s="40" t="s">
        <v>1141</v>
      </c>
      <c r="H994" s="40" t="s">
        <v>2751</v>
      </c>
      <c r="I994" s="37" t="s">
        <v>32</v>
      </c>
      <c r="J994" t="str">
        <f>VLOOKUP(F994,'[1]BASE DE DADOS'!$A:$C,3,0)</f>
        <v xml:space="preserve">Alex Junior Rodrigues dos santos </v>
      </c>
    </row>
    <row r="995" spans="1:10" x14ac:dyDescent="0.25">
      <c r="A995" s="40" t="s">
        <v>2752</v>
      </c>
      <c r="B995" s="41">
        <v>999881963009015</v>
      </c>
      <c r="C995" s="40" t="s">
        <v>42</v>
      </c>
      <c r="D995" s="40" t="s">
        <v>10</v>
      </c>
      <c r="E995" s="40" t="s">
        <v>2753</v>
      </c>
      <c r="F995" s="40" t="s">
        <v>1184</v>
      </c>
      <c r="G995" s="40" t="s">
        <v>1141</v>
      </c>
      <c r="H995" s="40">
        <v>0</v>
      </c>
      <c r="I995" s="37" t="s">
        <v>33</v>
      </c>
      <c r="J995" t="str">
        <f>VLOOKUP(F995,'[1]BASE DE DADOS'!$A:$C,3,0)</f>
        <v>Cleber Silvestre Almeida e Silva</v>
      </c>
    </row>
    <row r="996" spans="1:10" x14ac:dyDescent="0.25">
      <c r="A996" s="40" t="s">
        <v>2754</v>
      </c>
      <c r="B996" s="41">
        <v>999882045221822</v>
      </c>
      <c r="C996" s="40" t="s">
        <v>43</v>
      </c>
      <c r="D996" s="40" t="s">
        <v>10</v>
      </c>
      <c r="E996" s="40" t="s">
        <v>2755</v>
      </c>
      <c r="F996" s="40" t="s">
        <v>2748</v>
      </c>
      <c r="G996" s="40" t="s">
        <v>1141</v>
      </c>
      <c r="H996" s="40">
        <v>0</v>
      </c>
      <c r="I996" s="37" t="s">
        <v>33</v>
      </c>
      <c r="J996" t="str">
        <f>VLOOKUP(F996,'[1]BASE DE DADOS'!$A:$C,3,0)</f>
        <v xml:space="preserve">Alex Junior Rodrigues dos santos </v>
      </c>
    </row>
    <row r="997" spans="1:10" x14ac:dyDescent="0.25">
      <c r="A997" s="40" t="s">
        <v>2756</v>
      </c>
      <c r="B997" s="41">
        <v>999882025709878</v>
      </c>
      <c r="C997" s="40" t="s">
        <v>40</v>
      </c>
      <c r="D997" s="40" t="s">
        <v>10</v>
      </c>
      <c r="E997" s="40" t="s">
        <v>2757</v>
      </c>
      <c r="F997" s="40" t="s">
        <v>1483</v>
      </c>
      <c r="G997" s="40" t="s">
        <v>1141</v>
      </c>
      <c r="H997" s="40">
        <v>0</v>
      </c>
      <c r="I997" s="37" t="s">
        <v>33</v>
      </c>
      <c r="J997" t="str">
        <f>VLOOKUP(F997,'[1]BASE DE DADOS'!$A:$C,3,0)</f>
        <v>Eduardo Carvalho Vieira dos Santos</v>
      </c>
    </row>
    <row r="998" spans="1:10" x14ac:dyDescent="0.25">
      <c r="A998" s="40" t="s">
        <v>2758</v>
      </c>
      <c r="B998" s="41">
        <v>999881941310338</v>
      </c>
      <c r="C998" s="40" t="s">
        <v>43</v>
      </c>
      <c r="D998" s="40" t="s">
        <v>10</v>
      </c>
      <c r="E998" s="40" t="s">
        <v>2759</v>
      </c>
      <c r="F998" s="40" t="s">
        <v>1200</v>
      </c>
      <c r="G998" s="40" t="s">
        <v>1141</v>
      </c>
      <c r="H998" s="40">
        <v>0</v>
      </c>
      <c r="I998" s="37" t="s">
        <v>33</v>
      </c>
      <c r="J998" t="str">
        <f>VLOOKUP(F998,'[1]BASE DE DADOS'!$A:$C,3,0)</f>
        <v>Cleber Silvestre Almeida e Silva</v>
      </c>
    </row>
    <row r="999" spans="1:10" x14ac:dyDescent="0.25">
      <c r="A999" s="40" t="s">
        <v>2760</v>
      </c>
      <c r="B999" s="41">
        <v>999882011176392</v>
      </c>
      <c r="C999" s="40" t="s">
        <v>40</v>
      </c>
      <c r="D999" s="40" t="s">
        <v>10</v>
      </c>
      <c r="E999" s="40" t="s">
        <v>2761</v>
      </c>
      <c r="F999" s="40" t="s">
        <v>1144</v>
      </c>
      <c r="G999" s="40" t="s">
        <v>1141</v>
      </c>
      <c r="H999" s="40" t="s">
        <v>2762</v>
      </c>
      <c r="I999" s="37" t="s">
        <v>32</v>
      </c>
      <c r="J999" t="str">
        <f>VLOOKUP(F999,'[1]BASE DE DADOS'!$A:$C,3,0)</f>
        <v xml:space="preserve">Alex Junior Rodrigues dos santos </v>
      </c>
    </row>
    <row r="1000" spans="1:10" x14ac:dyDescent="0.25">
      <c r="A1000" s="40" t="s">
        <v>2763</v>
      </c>
      <c r="B1000" s="41">
        <v>999881895370004</v>
      </c>
      <c r="C1000" s="40" t="s">
        <v>40</v>
      </c>
      <c r="D1000" s="40" t="s">
        <v>10</v>
      </c>
      <c r="E1000" s="40" t="s">
        <v>2764</v>
      </c>
      <c r="F1000" s="40" t="s">
        <v>1176</v>
      </c>
      <c r="G1000" s="40" t="s">
        <v>1141</v>
      </c>
      <c r="H1000" s="40">
        <v>0</v>
      </c>
      <c r="I1000" s="37" t="s">
        <v>33</v>
      </c>
      <c r="J1000" t="str">
        <f>VLOOKUP(F1000,'[1]BASE DE DADOS'!$A:$C,3,0)</f>
        <v>Cleber Silvestre Almeida e Silva</v>
      </c>
    </row>
    <row r="1001" spans="1:10" x14ac:dyDescent="0.25">
      <c r="A1001" s="40" t="s">
        <v>2765</v>
      </c>
      <c r="B1001" s="41">
        <v>999881924934426</v>
      </c>
      <c r="C1001" s="40" t="s">
        <v>41</v>
      </c>
      <c r="D1001" s="40" t="s">
        <v>10</v>
      </c>
      <c r="E1001" s="40" t="s">
        <v>2766</v>
      </c>
      <c r="F1001" s="40" t="s">
        <v>2655</v>
      </c>
      <c r="G1001" s="40" t="s">
        <v>1141</v>
      </c>
      <c r="H1001" s="40">
        <v>0</v>
      </c>
      <c r="I1001" s="37" t="s">
        <v>33</v>
      </c>
      <c r="J1001" t="str">
        <f>VLOOKUP(F1001,'[1]BASE DE DADOS'!$A:$C,3,0)</f>
        <v>Cleber Silvestre Almeida e Silva</v>
      </c>
    </row>
    <row r="1002" spans="1:10" x14ac:dyDescent="0.25">
      <c r="A1002" s="40" t="s">
        <v>2767</v>
      </c>
      <c r="B1002" s="41">
        <v>999881995816801</v>
      </c>
      <c r="C1002" s="40" t="s">
        <v>40</v>
      </c>
      <c r="D1002" s="40" t="s">
        <v>10</v>
      </c>
      <c r="E1002" s="40" t="s">
        <v>2768</v>
      </c>
      <c r="F1002" s="40" t="s">
        <v>1165</v>
      </c>
      <c r="G1002" s="40" t="s">
        <v>1141</v>
      </c>
      <c r="H1002" s="40">
        <v>0</v>
      </c>
      <c r="I1002" s="37" t="s">
        <v>33</v>
      </c>
      <c r="J1002" t="str">
        <f>VLOOKUP(F1002,'[1]BASE DE DADOS'!$A:$C,3,0)</f>
        <v>Eduardo Carvalho Vieira dos Santos</v>
      </c>
    </row>
    <row r="1003" spans="1:10" x14ac:dyDescent="0.25">
      <c r="A1003" s="40" t="s">
        <v>2769</v>
      </c>
      <c r="B1003" s="41">
        <v>999882059657048</v>
      </c>
      <c r="C1003" s="40" t="s">
        <v>40</v>
      </c>
      <c r="D1003" s="40" t="s">
        <v>10</v>
      </c>
      <c r="E1003" s="40" t="s">
        <v>2770</v>
      </c>
      <c r="F1003" s="40" t="s">
        <v>1558</v>
      </c>
      <c r="G1003" s="40" t="s">
        <v>1141</v>
      </c>
      <c r="H1003" s="40" t="s">
        <v>2771</v>
      </c>
      <c r="I1003" s="37" t="s">
        <v>32</v>
      </c>
      <c r="J1003" t="str">
        <f>VLOOKUP(F1003,'[1]BASE DE DADOS'!$A:$C,3,0)</f>
        <v>Eduardo Carvalho Vieira dos Santos</v>
      </c>
    </row>
    <row r="1004" spans="1:10" x14ac:dyDescent="0.25">
      <c r="A1004" s="40" t="s">
        <v>2772</v>
      </c>
      <c r="B1004" s="41">
        <v>999881959512663</v>
      </c>
      <c r="C1004" s="40" t="s">
        <v>40</v>
      </c>
      <c r="D1004" s="40" t="s">
        <v>10</v>
      </c>
      <c r="E1004" s="40" t="s">
        <v>2773</v>
      </c>
      <c r="F1004" s="40" t="s">
        <v>1184</v>
      </c>
      <c r="G1004" s="40" t="s">
        <v>1141</v>
      </c>
      <c r="H1004" s="40">
        <v>0</v>
      </c>
      <c r="I1004" s="37" t="s">
        <v>33</v>
      </c>
      <c r="J1004" t="str">
        <f>VLOOKUP(F1004,'[1]BASE DE DADOS'!$A:$C,3,0)</f>
        <v>Cleber Silvestre Almeida e Silva</v>
      </c>
    </row>
    <row r="1005" spans="1:10" x14ac:dyDescent="0.25">
      <c r="A1005" s="40" t="s">
        <v>2774</v>
      </c>
      <c r="B1005" s="41">
        <v>999881974503536</v>
      </c>
      <c r="C1005" s="40" t="s">
        <v>43</v>
      </c>
      <c r="D1005" s="40" t="s">
        <v>10</v>
      </c>
      <c r="E1005" s="40" t="s">
        <v>2775</v>
      </c>
      <c r="F1005" s="40" t="s">
        <v>1200</v>
      </c>
      <c r="G1005" s="40" t="s">
        <v>1141</v>
      </c>
      <c r="H1005" s="40">
        <v>0</v>
      </c>
      <c r="I1005" s="37" t="s">
        <v>33</v>
      </c>
      <c r="J1005" t="str">
        <f>VLOOKUP(F1005,'[1]BASE DE DADOS'!$A:$C,3,0)</f>
        <v>Cleber Silvestre Almeida e Silva</v>
      </c>
    </row>
    <row r="1006" spans="1:10" x14ac:dyDescent="0.25">
      <c r="A1006" s="40" t="s">
        <v>2776</v>
      </c>
      <c r="B1006" s="41">
        <v>999881979308576</v>
      </c>
      <c r="C1006" s="40" t="s">
        <v>43</v>
      </c>
      <c r="D1006" s="40" t="s">
        <v>10</v>
      </c>
      <c r="E1006" s="40" t="s">
        <v>2777</v>
      </c>
      <c r="F1006" s="40" t="s">
        <v>2778</v>
      </c>
      <c r="G1006" s="40" t="s">
        <v>1141</v>
      </c>
      <c r="H1006" s="40">
        <v>0</v>
      </c>
      <c r="I1006" s="37" t="s">
        <v>33</v>
      </c>
      <c r="J1006" t="str">
        <f>VLOOKUP(F1006,'[1]BASE DE DADOS'!$A:$C,3,0)</f>
        <v>Hiago Vinicius Alves Dos Santos Silva</v>
      </c>
    </row>
    <row r="1007" spans="1:10" x14ac:dyDescent="0.25">
      <c r="A1007" s="40" t="s">
        <v>2779</v>
      </c>
      <c r="B1007" s="41">
        <v>999881902787892</v>
      </c>
      <c r="C1007" s="40" t="s">
        <v>43</v>
      </c>
      <c r="D1007" s="40" t="s">
        <v>10</v>
      </c>
      <c r="E1007" s="40" t="s">
        <v>2780</v>
      </c>
      <c r="F1007" s="40" t="s">
        <v>2469</v>
      </c>
      <c r="G1007" s="40" t="s">
        <v>1141</v>
      </c>
      <c r="H1007" s="40">
        <v>0</v>
      </c>
      <c r="I1007" s="37" t="s">
        <v>33</v>
      </c>
      <c r="J1007" t="str">
        <f>VLOOKUP(F1007,'[1]BASE DE DADOS'!$A:$C,3,0)</f>
        <v xml:space="preserve">Alex Junior Rodrigues dos santos </v>
      </c>
    </row>
    <row r="1008" spans="1:10" x14ac:dyDescent="0.25">
      <c r="A1008" s="40" t="s">
        <v>2781</v>
      </c>
      <c r="B1008" s="41">
        <v>999882033226918</v>
      </c>
      <c r="C1008" s="40" t="s">
        <v>41</v>
      </c>
      <c r="D1008" s="40" t="s">
        <v>10</v>
      </c>
      <c r="E1008" s="40" t="s">
        <v>2782</v>
      </c>
      <c r="F1008" s="40" t="s">
        <v>1169</v>
      </c>
      <c r="G1008" s="40" t="s">
        <v>1141</v>
      </c>
      <c r="H1008" s="40">
        <v>0</v>
      </c>
      <c r="I1008" s="37" t="s">
        <v>33</v>
      </c>
      <c r="J1008" t="str">
        <f>VLOOKUP(F1008,'[1]BASE DE DADOS'!$A:$C,3,0)</f>
        <v>Cleber Silvestre Almeida e Silva</v>
      </c>
    </row>
    <row r="1009" spans="1:10" x14ac:dyDescent="0.25">
      <c r="A1009" s="40" t="s">
        <v>2783</v>
      </c>
      <c r="B1009" s="41">
        <v>999882016094397</v>
      </c>
      <c r="C1009" s="40" t="s">
        <v>40</v>
      </c>
      <c r="D1009" s="40" t="s">
        <v>10</v>
      </c>
      <c r="E1009" s="40" t="s">
        <v>2784</v>
      </c>
      <c r="F1009" s="40" t="s">
        <v>1247</v>
      </c>
      <c r="G1009" s="40" t="s">
        <v>1141</v>
      </c>
      <c r="H1009" s="40">
        <v>0</v>
      </c>
      <c r="I1009" s="37" t="s">
        <v>33</v>
      </c>
      <c r="J1009" t="str">
        <f>VLOOKUP(F1009,'[1]BASE DE DADOS'!$A:$C,3,0)</f>
        <v>Cleber Silvestre Almeida e Silva</v>
      </c>
    </row>
    <row r="1010" spans="1:10" x14ac:dyDescent="0.25">
      <c r="A1010" s="40" t="s">
        <v>2785</v>
      </c>
      <c r="B1010" s="41">
        <v>999881983259147</v>
      </c>
      <c r="C1010" s="40" t="s">
        <v>40</v>
      </c>
      <c r="D1010" s="40" t="s">
        <v>10</v>
      </c>
      <c r="E1010" s="40" t="s">
        <v>2786</v>
      </c>
      <c r="F1010" s="40" t="s">
        <v>1323</v>
      </c>
      <c r="G1010" s="40" t="s">
        <v>1141</v>
      </c>
      <c r="H1010" s="40" t="s">
        <v>2787</v>
      </c>
      <c r="I1010" s="37" t="s">
        <v>32</v>
      </c>
      <c r="J1010" t="str">
        <f>VLOOKUP(F1010,'[1]BASE DE DADOS'!$A:$C,3,0)</f>
        <v>Cleber Silvestre Almeida e Silva</v>
      </c>
    </row>
    <row r="1011" spans="1:10" x14ac:dyDescent="0.25">
      <c r="A1011" s="40" t="s">
        <v>2788</v>
      </c>
      <c r="B1011" s="41">
        <v>999881939660960</v>
      </c>
      <c r="C1011" s="40" t="s">
        <v>43</v>
      </c>
      <c r="D1011" s="40" t="s">
        <v>10</v>
      </c>
      <c r="E1011" s="40" t="s">
        <v>2789</v>
      </c>
      <c r="F1011" s="40" t="s">
        <v>2790</v>
      </c>
      <c r="G1011" s="40" t="s">
        <v>1141</v>
      </c>
      <c r="H1011" s="40">
        <v>0</v>
      </c>
      <c r="I1011" s="37" t="s">
        <v>33</v>
      </c>
      <c r="J1011" t="str">
        <f>VLOOKUP(F1011,'[1]BASE DE DADOS'!$A:$C,3,0)</f>
        <v>Eduardo Carvalho Vieira dos Santos</v>
      </c>
    </row>
    <row r="1012" spans="1:10" x14ac:dyDescent="0.25">
      <c r="A1012" s="40" t="s">
        <v>2791</v>
      </c>
      <c r="B1012" s="41">
        <v>999882012005313</v>
      </c>
      <c r="C1012" s="40" t="s">
        <v>43</v>
      </c>
      <c r="D1012" s="40" t="s">
        <v>10</v>
      </c>
      <c r="E1012" s="40" t="s">
        <v>2792</v>
      </c>
      <c r="F1012" s="40" t="s">
        <v>1274</v>
      </c>
      <c r="G1012" s="40" t="s">
        <v>1141</v>
      </c>
      <c r="H1012" s="40">
        <v>0</v>
      </c>
      <c r="I1012" s="37" t="s">
        <v>33</v>
      </c>
      <c r="J1012" t="str">
        <f>VLOOKUP(F1012,'[1]BASE DE DADOS'!$A:$C,3,0)</f>
        <v>Hiago Vinicius Alves Dos Santos Silva</v>
      </c>
    </row>
    <row r="1013" spans="1:10" x14ac:dyDescent="0.25">
      <c r="A1013" s="40" t="s">
        <v>2793</v>
      </c>
      <c r="B1013" s="41">
        <v>999882000435723</v>
      </c>
      <c r="C1013" s="40" t="s">
        <v>40</v>
      </c>
      <c r="D1013" s="40" t="s">
        <v>10</v>
      </c>
      <c r="E1013" s="40" t="s">
        <v>2794</v>
      </c>
      <c r="F1013" s="40" t="s">
        <v>2606</v>
      </c>
      <c r="G1013" s="40" t="s">
        <v>1141</v>
      </c>
      <c r="H1013" s="40">
        <v>0</v>
      </c>
      <c r="I1013" s="37" t="s">
        <v>33</v>
      </c>
      <c r="J1013" t="str">
        <f>VLOOKUP(F1013,'[1]BASE DE DADOS'!$A:$C,3,0)</f>
        <v xml:space="preserve">Alex Junior Rodrigues dos santos </v>
      </c>
    </row>
    <row r="1014" spans="1:10" x14ac:dyDescent="0.25">
      <c r="A1014" s="40" t="s">
        <v>2795</v>
      </c>
      <c r="B1014" s="41">
        <v>999881990059200</v>
      </c>
      <c r="C1014" s="40" t="s">
        <v>40</v>
      </c>
      <c r="D1014" s="40" t="s">
        <v>10</v>
      </c>
      <c r="E1014" s="40" t="s">
        <v>2796</v>
      </c>
      <c r="F1014" s="40" t="s">
        <v>1140</v>
      </c>
      <c r="G1014" s="40" t="s">
        <v>1141</v>
      </c>
      <c r="H1014" s="40">
        <v>0</v>
      </c>
      <c r="I1014" s="37" t="s">
        <v>33</v>
      </c>
      <c r="J1014" t="str">
        <f>VLOOKUP(F1014,'[1]BASE DE DADOS'!$A:$C,3,0)</f>
        <v xml:space="preserve">Alex Junior Rodrigues dos santos </v>
      </c>
    </row>
    <row r="1015" spans="1:10" x14ac:dyDescent="0.25">
      <c r="A1015" s="40" t="s">
        <v>2797</v>
      </c>
      <c r="B1015" s="41">
        <v>999881969345985</v>
      </c>
      <c r="C1015" s="40" t="s">
        <v>43</v>
      </c>
      <c r="D1015" s="40" t="s">
        <v>10</v>
      </c>
      <c r="E1015" s="40" t="s">
        <v>2798</v>
      </c>
      <c r="F1015" s="40" t="s">
        <v>2081</v>
      </c>
      <c r="G1015" s="40" t="s">
        <v>1141</v>
      </c>
      <c r="H1015" s="40">
        <v>0</v>
      </c>
      <c r="I1015" s="37" t="s">
        <v>33</v>
      </c>
      <c r="J1015" t="str">
        <f>VLOOKUP(F1015,'[1]BASE DE DADOS'!$A:$C,3,0)</f>
        <v>Cleber Silvestre Almeida e Silva</v>
      </c>
    </row>
    <row r="1016" spans="1:10" x14ac:dyDescent="0.25">
      <c r="A1016" s="40" t="s">
        <v>2799</v>
      </c>
      <c r="B1016" s="41">
        <v>999882013956939</v>
      </c>
      <c r="C1016" s="40" t="s">
        <v>43</v>
      </c>
      <c r="D1016" s="40" t="s">
        <v>10</v>
      </c>
      <c r="E1016" s="40" t="s">
        <v>2800</v>
      </c>
      <c r="F1016" s="40" t="s">
        <v>1278</v>
      </c>
      <c r="G1016" s="40" t="s">
        <v>1141</v>
      </c>
      <c r="H1016" s="40">
        <v>0</v>
      </c>
      <c r="I1016" s="37" t="s">
        <v>33</v>
      </c>
      <c r="J1016" t="str">
        <f>VLOOKUP(F1016,'[1]BASE DE DADOS'!$A:$C,3,0)</f>
        <v>Eduardo Carvalho Vieira dos Santos</v>
      </c>
    </row>
    <row r="1017" spans="1:10" x14ac:dyDescent="0.25">
      <c r="A1017" s="40" t="s">
        <v>2801</v>
      </c>
      <c r="B1017" s="41">
        <v>999881976027011</v>
      </c>
      <c r="C1017" s="40" t="s">
        <v>43</v>
      </c>
      <c r="D1017" s="40" t="s">
        <v>10</v>
      </c>
      <c r="E1017" s="40" t="s">
        <v>2802</v>
      </c>
      <c r="F1017" s="40" t="s">
        <v>1316</v>
      </c>
      <c r="G1017" s="40" t="s">
        <v>1141</v>
      </c>
      <c r="H1017" s="40">
        <v>0</v>
      </c>
      <c r="I1017" s="37" t="s">
        <v>33</v>
      </c>
      <c r="J1017" t="str">
        <f>VLOOKUP(F1017,'[1]BASE DE DADOS'!$A:$C,3,0)</f>
        <v>Eduardo Carvalho Vieira dos Santos</v>
      </c>
    </row>
    <row r="1018" spans="1:10" x14ac:dyDescent="0.25">
      <c r="A1018" s="40" t="s">
        <v>2803</v>
      </c>
      <c r="B1018" s="41">
        <v>999882007803908</v>
      </c>
      <c r="C1018" s="40" t="s">
        <v>41</v>
      </c>
      <c r="D1018" s="40" t="s">
        <v>10</v>
      </c>
      <c r="E1018" s="40" t="s">
        <v>2804</v>
      </c>
      <c r="F1018" s="40" t="s">
        <v>1169</v>
      </c>
      <c r="G1018" s="40" t="s">
        <v>1141</v>
      </c>
      <c r="H1018" s="40" t="s">
        <v>2805</v>
      </c>
      <c r="I1018" s="37" t="s">
        <v>32</v>
      </c>
      <c r="J1018" t="str">
        <f>VLOOKUP(F1018,'[1]BASE DE DADOS'!$A:$C,3,0)</f>
        <v>Cleber Silvestre Almeida e Silva</v>
      </c>
    </row>
    <row r="1019" spans="1:10" x14ac:dyDescent="0.25">
      <c r="A1019" s="40" t="s">
        <v>2806</v>
      </c>
      <c r="B1019" s="41">
        <v>999882007909812</v>
      </c>
      <c r="C1019" s="40" t="s">
        <v>40</v>
      </c>
      <c r="D1019" s="40" t="s">
        <v>10</v>
      </c>
      <c r="E1019" s="40" t="s">
        <v>2807</v>
      </c>
      <c r="F1019" s="40" t="s">
        <v>1144</v>
      </c>
      <c r="G1019" s="40" t="s">
        <v>1141</v>
      </c>
      <c r="H1019" s="40">
        <v>0</v>
      </c>
      <c r="I1019" s="37" t="s">
        <v>33</v>
      </c>
      <c r="J1019" t="str">
        <f>VLOOKUP(F1019,'[1]BASE DE DADOS'!$A:$C,3,0)</f>
        <v xml:space="preserve">Alex Junior Rodrigues dos santos </v>
      </c>
    </row>
    <row r="1020" spans="1:10" x14ac:dyDescent="0.25">
      <c r="A1020" s="40" t="s">
        <v>2808</v>
      </c>
      <c r="B1020" s="41">
        <v>999882011049718</v>
      </c>
      <c r="C1020" s="40" t="s">
        <v>43</v>
      </c>
      <c r="D1020" s="40" t="s">
        <v>10</v>
      </c>
      <c r="E1020" s="40" t="s">
        <v>2809</v>
      </c>
      <c r="F1020" s="40" t="s">
        <v>1278</v>
      </c>
      <c r="G1020" s="40" t="s">
        <v>1141</v>
      </c>
      <c r="H1020" s="40" t="s">
        <v>2810</v>
      </c>
      <c r="I1020" s="37" t="s">
        <v>32</v>
      </c>
      <c r="J1020" t="str">
        <f>VLOOKUP(F1020,'[1]BASE DE DADOS'!$A:$C,3,0)</f>
        <v>Eduardo Carvalho Vieira dos Santos</v>
      </c>
    </row>
    <row r="1021" spans="1:10" x14ac:dyDescent="0.25">
      <c r="A1021" s="40" t="s">
        <v>2811</v>
      </c>
      <c r="B1021" s="41">
        <v>999882022595388</v>
      </c>
      <c r="C1021" s="40" t="s">
        <v>43</v>
      </c>
      <c r="D1021" s="40" t="s">
        <v>10</v>
      </c>
      <c r="E1021" s="40" t="s">
        <v>2812</v>
      </c>
      <c r="F1021" s="40" t="s">
        <v>1274</v>
      </c>
      <c r="G1021" s="40" t="s">
        <v>1141</v>
      </c>
      <c r="H1021" s="40">
        <v>0</v>
      </c>
      <c r="I1021" s="37" t="s">
        <v>33</v>
      </c>
      <c r="J1021" t="str">
        <f>VLOOKUP(F1021,'[1]BASE DE DADOS'!$A:$C,3,0)</f>
        <v>Hiago Vinicius Alves Dos Santos Silva</v>
      </c>
    </row>
    <row r="1022" spans="1:10" x14ac:dyDescent="0.25">
      <c r="A1022" s="40" t="s">
        <v>2813</v>
      </c>
      <c r="B1022" s="41">
        <v>999882011244415</v>
      </c>
      <c r="C1022" s="40" t="s">
        <v>40</v>
      </c>
      <c r="D1022" s="40" t="s">
        <v>10</v>
      </c>
      <c r="E1022" s="40" t="s">
        <v>2814</v>
      </c>
      <c r="F1022" s="40" t="s">
        <v>1144</v>
      </c>
      <c r="G1022" s="40" t="s">
        <v>1141</v>
      </c>
      <c r="H1022" s="40">
        <v>0</v>
      </c>
      <c r="I1022" s="37" t="s">
        <v>33</v>
      </c>
      <c r="J1022" t="str">
        <f>VLOOKUP(F1022,'[1]BASE DE DADOS'!$A:$C,3,0)</f>
        <v xml:space="preserve">Alex Junior Rodrigues dos santos </v>
      </c>
    </row>
    <row r="1023" spans="1:10" x14ac:dyDescent="0.25">
      <c r="A1023" s="40" t="s">
        <v>2815</v>
      </c>
      <c r="B1023" s="41">
        <v>999881993602061</v>
      </c>
      <c r="C1023" s="40" t="s">
        <v>40</v>
      </c>
      <c r="D1023" s="40" t="s">
        <v>10</v>
      </c>
      <c r="E1023" s="40" t="s">
        <v>2816</v>
      </c>
      <c r="F1023" s="40" t="s">
        <v>2370</v>
      </c>
      <c r="G1023" s="40" t="s">
        <v>1141</v>
      </c>
      <c r="H1023" s="40">
        <v>0</v>
      </c>
      <c r="I1023" s="37" t="s">
        <v>33</v>
      </c>
      <c r="J1023" t="str">
        <f>VLOOKUP(F1023,'[1]BASE DE DADOS'!$A:$C,3,0)</f>
        <v xml:space="preserve">Alex Junior Rodrigues dos santos </v>
      </c>
    </row>
    <row r="1024" spans="1:10" x14ac:dyDescent="0.25">
      <c r="A1024" s="40" t="s">
        <v>2817</v>
      </c>
      <c r="B1024" s="41">
        <v>999882048271285</v>
      </c>
      <c r="C1024" s="40" t="s">
        <v>43</v>
      </c>
      <c r="D1024" s="40" t="s">
        <v>10</v>
      </c>
      <c r="E1024" s="40" t="s">
        <v>2818</v>
      </c>
      <c r="F1024" s="40" t="s">
        <v>2606</v>
      </c>
      <c r="G1024" s="40" t="s">
        <v>1141</v>
      </c>
      <c r="H1024" s="40" t="s">
        <v>2819</v>
      </c>
      <c r="I1024" s="37" t="s">
        <v>32</v>
      </c>
      <c r="J1024" t="str">
        <f>VLOOKUP(F1024,'[1]BASE DE DADOS'!$A:$C,3,0)</f>
        <v xml:space="preserve">Alex Junior Rodrigues dos santos </v>
      </c>
    </row>
    <row r="1025" spans="1:10" x14ac:dyDescent="0.25">
      <c r="A1025" s="40" t="s">
        <v>2820</v>
      </c>
      <c r="B1025" s="41">
        <v>999882023867995</v>
      </c>
      <c r="C1025" s="40" t="s">
        <v>43</v>
      </c>
      <c r="D1025" s="40" t="s">
        <v>10</v>
      </c>
      <c r="E1025" s="40" t="s">
        <v>2821</v>
      </c>
      <c r="F1025" s="40" t="s">
        <v>1666</v>
      </c>
      <c r="G1025" s="40" t="s">
        <v>1141</v>
      </c>
      <c r="H1025" s="40">
        <v>0</v>
      </c>
      <c r="I1025" s="37" t="s">
        <v>33</v>
      </c>
      <c r="J1025" t="str">
        <f>VLOOKUP(F1025,'[1]BASE DE DADOS'!$A:$C,3,0)</f>
        <v>Cleber Silvestre Almeida e Silva</v>
      </c>
    </row>
    <row r="1026" spans="1:10" x14ac:dyDescent="0.25">
      <c r="A1026" s="40" t="s">
        <v>2822</v>
      </c>
      <c r="B1026" s="41">
        <v>999882013258186</v>
      </c>
      <c r="C1026" s="40" t="s">
        <v>40</v>
      </c>
      <c r="D1026" s="40" t="s">
        <v>10</v>
      </c>
      <c r="E1026" s="40" t="s">
        <v>2823</v>
      </c>
      <c r="F1026" s="40" t="s">
        <v>1144</v>
      </c>
      <c r="G1026" s="40" t="s">
        <v>1141</v>
      </c>
      <c r="H1026" s="40">
        <v>0</v>
      </c>
      <c r="I1026" s="37" t="s">
        <v>33</v>
      </c>
      <c r="J1026" t="str">
        <f>VLOOKUP(F1026,'[1]BASE DE DADOS'!$A:$C,3,0)</f>
        <v xml:space="preserve">Alex Junior Rodrigues dos santos </v>
      </c>
    </row>
    <row r="1027" spans="1:10" x14ac:dyDescent="0.25">
      <c r="A1027" s="40" t="s">
        <v>2824</v>
      </c>
      <c r="B1027" s="41">
        <v>999881976861688</v>
      </c>
      <c r="C1027" s="40" t="s">
        <v>43</v>
      </c>
      <c r="D1027" s="40" t="s">
        <v>10</v>
      </c>
      <c r="E1027" s="40" t="s">
        <v>2825</v>
      </c>
      <c r="F1027" s="40" t="s">
        <v>1339</v>
      </c>
      <c r="G1027" s="40" t="s">
        <v>1141</v>
      </c>
      <c r="H1027" s="40" t="s">
        <v>2826</v>
      </c>
      <c r="I1027" s="37" t="s">
        <v>32</v>
      </c>
      <c r="J1027" t="str">
        <f>VLOOKUP(F1027,'[1]BASE DE DADOS'!$A:$C,3,0)</f>
        <v>Eduardo Carvalho Vieira dos Santos</v>
      </c>
    </row>
    <row r="1028" spans="1:10" x14ac:dyDescent="0.25">
      <c r="A1028" s="40" t="s">
        <v>2827</v>
      </c>
      <c r="B1028" s="41">
        <v>999882016142443</v>
      </c>
      <c r="C1028" s="40" t="s">
        <v>43</v>
      </c>
      <c r="D1028" s="40" t="s">
        <v>10</v>
      </c>
      <c r="E1028" s="40" t="s">
        <v>2828</v>
      </c>
      <c r="F1028" s="40" t="s">
        <v>1151</v>
      </c>
      <c r="G1028" s="40" t="s">
        <v>1141</v>
      </c>
      <c r="H1028" s="40">
        <v>0</v>
      </c>
      <c r="I1028" s="37" t="s">
        <v>33</v>
      </c>
      <c r="J1028" t="str">
        <f>VLOOKUP(F1028,'[1]BASE DE DADOS'!$A:$C,3,0)</f>
        <v>Hiago Vinicius Alves Dos Santos Silva</v>
      </c>
    </row>
    <row r="1029" spans="1:10" x14ac:dyDescent="0.25">
      <c r="A1029" s="40" t="s">
        <v>2829</v>
      </c>
      <c r="B1029" s="41">
        <v>999881944066793</v>
      </c>
      <c r="C1029" s="40" t="s">
        <v>43</v>
      </c>
      <c r="D1029" s="40" t="s">
        <v>10</v>
      </c>
      <c r="E1029" s="40" t="s">
        <v>2830</v>
      </c>
      <c r="F1029" s="40" t="s">
        <v>2081</v>
      </c>
      <c r="G1029" s="40" t="s">
        <v>1141</v>
      </c>
      <c r="H1029" s="40">
        <v>0</v>
      </c>
      <c r="I1029" s="37" t="s">
        <v>33</v>
      </c>
      <c r="J1029" t="str">
        <f>VLOOKUP(F1029,'[1]BASE DE DADOS'!$A:$C,3,0)</f>
        <v>Cleber Silvestre Almeida e Silva</v>
      </c>
    </row>
    <row r="1030" spans="1:10" x14ac:dyDescent="0.25">
      <c r="A1030" s="40" t="s">
        <v>2831</v>
      </c>
      <c r="B1030" s="41">
        <v>999882032361482</v>
      </c>
      <c r="C1030" s="40" t="s">
        <v>43</v>
      </c>
      <c r="D1030" s="40" t="s">
        <v>10</v>
      </c>
      <c r="E1030" s="40" t="s">
        <v>2832</v>
      </c>
      <c r="F1030" s="40" t="s">
        <v>2833</v>
      </c>
      <c r="G1030" s="40" t="s">
        <v>1141</v>
      </c>
      <c r="H1030" s="40" t="s">
        <v>2834</v>
      </c>
      <c r="I1030" s="37" t="s">
        <v>32</v>
      </c>
      <c r="J1030" t="str">
        <f>VLOOKUP(F1030,'[1]BASE DE DADOS'!$A:$C,3,0)</f>
        <v xml:space="preserve">Alex Junior Rodrigues dos santos </v>
      </c>
    </row>
    <row r="1031" spans="1:10" x14ac:dyDescent="0.25">
      <c r="A1031" s="40" t="s">
        <v>2835</v>
      </c>
      <c r="B1031" s="41">
        <v>999882037436973</v>
      </c>
      <c r="C1031" s="40" t="s">
        <v>43</v>
      </c>
      <c r="D1031" s="40" t="s">
        <v>10</v>
      </c>
      <c r="E1031" s="40" t="s">
        <v>2836</v>
      </c>
      <c r="F1031" s="40" t="s">
        <v>2064</v>
      </c>
      <c r="G1031" s="40" t="s">
        <v>1141</v>
      </c>
      <c r="H1031" s="40">
        <v>0</v>
      </c>
      <c r="I1031" s="37" t="s">
        <v>33</v>
      </c>
      <c r="J1031" t="str">
        <f>VLOOKUP(F1031,'[1]BASE DE DADOS'!$A:$C,3,0)</f>
        <v>Eduardo Carvalho Vieira dos Santos</v>
      </c>
    </row>
    <row r="1032" spans="1:10" x14ac:dyDescent="0.25">
      <c r="A1032" s="40" t="s">
        <v>2837</v>
      </c>
      <c r="B1032" s="41">
        <v>999882037747251</v>
      </c>
      <c r="C1032" s="40" t="s">
        <v>43</v>
      </c>
      <c r="D1032" s="40" t="s">
        <v>10</v>
      </c>
      <c r="E1032" s="40" t="s">
        <v>2838</v>
      </c>
      <c r="F1032" s="40" t="s">
        <v>1165</v>
      </c>
      <c r="G1032" s="40" t="s">
        <v>1141</v>
      </c>
      <c r="H1032" s="40" t="s">
        <v>2839</v>
      </c>
      <c r="I1032" s="37" t="s">
        <v>32</v>
      </c>
      <c r="J1032" t="str">
        <f>VLOOKUP(F1032,'[1]BASE DE DADOS'!$A:$C,3,0)</f>
        <v>Eduardo Carvalho Vieira dos Santos</v>
      </c>
    </row>
    <row r="1033" spans="1:10" x14ac:dyDescent="0.25">
      <c r="A1033" s="40" t="s">
        <v>2840</v>
      </c>
      <c r="B1033" s="41">
        <v>999882038098206</v>
      </c>
      <c r="C1033" s="40" t="s">
        <v>43</v>
      </c>
      <c r="D1033" s="40" t="s">
        <v>10</v>
      </c>
      <c r="E1033" s="40" t="s">
        <v>2841</v>
      </c>
      <c r="F1033" s="40" t="s">
        <v>1293</v>
      </c>
      <c r="G1033" s="40" t="s">
        <v>1141</v>
      </c>
      <c r="H1033" s="40">
        <v>0</v>
      </c>
      <c r="I1033" s="37" t="s">
        <v>33</v>
      </c>
      <c r="J1033" t="str">
        <f>VLOOKUP(F1033,'[1]BASE DE DADOS'!$A:$C,3,0)</f>
        <v xml:space="preserve">Alex Junior Rodrigues dos santos </v>
      </c>
    </row>
    <row r="1034" spans="1:10" x14ac:dyDescent="0.25">
      <c r="A1034" s="40" t="s">
        <v>2842</v>
      </c>
      <c r="B1034" s="41">
        <v>999881900556891</v>
      </c>
      <c r="C1034" s="40" t="s">
        <v>43</v>
      </c>
      <c r="D1034" s="40" t="s">
        <v>10</v>
      </c>
      <c r="E1034" s="40" t="s">
        <v>2843</v>
      </c>
      <c r="F1034" s="40" t="s">
        <v>1523</v>
      </c>
      <c r="G1034" s="40" t="s">
        <v>1141</v>
      </c>
      <c r="H1034" s="40">
        <v>0</v>
      </c>
      <c r="I1034" s="37" t="s">
        <v>33</v>
      </c>
      <c r="J1034" t="str">
        <f>VLOOKUP(F1034,'[1]BASE DE DADOS'!$A:$C,3,0)</f>
        <v>Hiago Vinicius Alves Dos Santos Silva</v>
      </c>
    </row>
    <row r="1035" spans="1:10" x14ac:dyDescent="0.25">
      <c r="A1035" s="40" t="s">
        <v>2844</v>
      </c>
      <c r="B1035" s="41">
        <v>999881989567218</v>
      </c>
      <c r="C1035" s="40" t="s">
        <v>40</v>
      </c>
      <c r="D1035" s="40" t="s">
        <v>10</v>
      </c>
      <c r="E1035" s="40" t="s">
        <v>2845</v>
      </c>
      <c r="F1035" s="40" t="s">
        <v>1144</v>
      </c>
      <c r="G1035" s="40" t="s">
        <v>1141</v>
      </c>
      <c r="H1035" s="40">
        <v>0</v>
      </c>
      <c r="I1035" s="37" t="s">
        <v>33</v>
      </c>
      <c r="J1035" t="str">
        <f>VLOOKUP(F1035,'[1]BASE DE DADOS'!$A:$C,3,0)</f>
        <v xml:space="preserve">Alex Junior Rodrigues dos santos </v>
      </c>
    </row>
    <row r="1036" spans="1:10" x14ac:dyDescent="0.25">
      <c r="A1036" s="40" t="s">
        <v>2846</v>
      </c>
      <c r="B1036" s="41">
        <v>999882005083771</v>
      </c>
      <c r="C1036" s="40" t="s">
        <v>43</v>
      </c>
      <c r="D1036" s="40" t="s">
        <v>10</v>
      </c>
      <c r="E1036" s="40" t="s">
        <v>2847</v>
      </c>
      <c r="F1036" s="40" t="s">
        <v>1165</v>
      </c>
      <c r="G1036" s="40" t="s">
        <v>1141</v>
      </c>
      <c r="H1036" s="40">
        <v>0</v>
      </c>
      <c r="I1036" s="37" t="s">
        <v>33</v>
      </c>
      <c r="J1036" t="str">
        <f>VLOOKUP(F1036,'[1]BASE DE DADOS'!$A:$C,3,0)</f>
        <v>Eduardo Carvalho Vieira dos Santos</v>
      </c>
    </row>
    <row r="1037" spans="1:10" x14ac:dyDescent="0.25">
      <c r="A1037" s="40" t="s">
        <v>2848</v>
      </c>
      <c r="B1037" s="41">
        <v>999882012219725</v>
      </c>
      <c r="C1037" s="40" t="s">
        <v>43</v>
      </c>
      <c r="D1037" s="40" t="s">
        <v>10</v>
      </c>
      <c r="E1037" s="40" t="s">
        <v>2849</v>
      </c>
      <c r="F1037" s="40" t="s">
        <v>2064</v>
      </c>
      <c r="G1037" s="40" t="s">
        <v>1141</v>
      </c>
      <c r="H1037" s="40">
        <v>0</v>
      </c>
      <c r="I1037" s="37" t="s">
        <v>33</v>
      </c>
      <c r="J1037" t="str">
        <f>VLOOKUP(F1037,'[1]BASE DE DADOS'!$A:$C,3,0)</f>
        <v>Eduardo Carvalho Vieira dos Santos</v>
      </c>
    </row>
    <row r="1038" spans="1:10" x14ac:dyDescent="0.25">
      <c r="A1038" s="40" t="s">
        <v>2850</v>
      </c>
      <c r="B1038" s="41">
        <v>999882007834320</v>
      </c>
      <c r="C1038" s="40" t="s">
        <v>43</v>
      </c>
      <c r="D1038" s="40" t="s">
        <v>10</v>
      </c>
      <c r="E1038" s="40" t="s">
        <v>2851</v>
      </c>
      <c r="F1038" s="40" t="s">
        <v>1165</v>
      </c>
      <c r="G1038" s="40" t="s">
        <v>1141</v>
      </c>
      <c r="H1038" s="40">
        <v>0</v>
      </c>
      <c r="I1038" s="37" t="s">
        <v>33</v>
      </c>
      <c r="J1038" t="str">
        <f>VLOOKUP(F1038,'[1]BASE DE DADOS'!$A:$C,3,0)</f>
        <v>Eduardo Carvalho Vieira dos Santos</v>
      </c>
    </row>
    <row r="1039" spans="1:10" x14ac:dyDescent="0.25">
      <c r="A1039" s="40" t="s">
        <v>2852</v>
      </c>
      <c r="B1039" s="41">
        <v>999881986847742</v>
      </c>
      <c r="C1039" s="40" t="s">
        <v>40</v>
      </c>
      <c r="D1039" s="40" t="s">
        <v>10</v>
      </c>
      <c r="E1039" s="40" t="s">
        <v>2853</v>
      </c>
      <c r="F1039" s="40" t="s">
        <v>1468</v>
      </c>
      <c r="G1039" s="40" t="s">
        <v>1141</v>
      </c>
      <c r="H1039" s="40">
        <v>0</v>
      </c>
      <c r="I1039" s="37" t="s">
        <v>33</v>
      </c>
      <c r="J1039" t="str">
        <f>VLOOKUP(F1039,'[1]BASE DE DADOS'!$A:$C,3,0)</f>
        <v>Eduardo Carvalho Vieira dos Santos</v>
      </c>
    </row>
    <row r="1040" spans="1:10" x14ac:dyDescent="0.25">
      <c r="A1040" s="40" t="s">
        <v>2854</v>
      </c>
      <c r="B1040" s="41">
        <v>999882034523152</v>
      </c>
      <c r="C1040" s="40" t="s">
        <v>43</v>
      </c>
      <c r="D1040" s="40" t="s">
        <v>10</v>
      </c>
      <c r="E1040" s="40" t="s">
        <v>2855</v>
      </c>
      <c r="F1040" s="40" t="s">
        <v>1236</v>
      </c>
      <c r="G1040" s="40" t="s">
        <v>1141</v>
      </c>
      <c r="H1040" s="40">
        <v>0</v>
      </c>
      <c r="I1040" s="37" t="s">
        <v>33</v>
      </c>
      <c r="J1040" t="str">
        <f>VLOOKUP(F1040,'[1]BASE DE DADOS'!$A:$C,3,0)</f>
        <v>Eduardo Carvalho Vieira dos Santos</v>
      </c>
    </row>
    <row r="1041" spans="1:10" x14ac:dyDescent="0.25">
      <c r="A1041" s="40" t="s">
        <v>2856</v>
      </c>
      <c r="B1041" s="41">
        <v>999882036027484</v>
      </c>
      <c r="C1041" s="40" t="s">
        <v>40</v>
      </c>
      <c r="D1041" s="40" t="s">
        <v>10</v>
      </c>
      <c r="E1041" s="40" t="s">
        <v>2857</v>
      </c>
      <c r="F1041" s="40" t="s">
        <v>1270</v>
      </c>
      <c r="G1041" s="40" t="s">
        <v>1141</v>
      </c>
      <c r="H1041" s="40">
        <v>0</v>
      </c>
      <c r="I1041" s="37" t="s">
        <v>33</v>
      </c>
      <c r="J1041" t="str">
        <f>VLOOKUP(F1041,'[1]BASE DE DADOS'!$A:$C,3,0)</f>
        <v xml:space="preserve">Alex Junior Rodrigues dos santos </v>
      </c>
    </row>
    <row r="1042" spans="1:10" x14ac:dyDescent="0.25">
      <c r="A1042" s="40" t="s">
        <v>2858</v>
      </c>
      <c r="B1042" s="41">
        <v>999882027531323</v>
      </c>
      <c r="C1042" s="40" t="s">
        <v>43</v>
      </c>
      <c r="D1042" s="40" t="s">
        <v>10</v>
      </c>
      <c r="E1042" s="40" t="s">
        <v>2859</v>
      </c>
      <c r="F1042" s="40" t="s">
        <v>1151</v>
      </c>
      <c r="G1042" s="40" t="s">
        <v>1141</v>
      </c>
      <c r="H1042" s="40">
        <v>0</v>
      </c>
      <c r="I1042" s="37" t="s">
        <v>33</v>
      </c>
      <c r="J1042" t="str">
        <f>VLOOKUP(F1042,'[1]BASE DE DADOS'!$A:$C,3,0)</f>
        <v>Hiago Vinicius Alves Dos Santos Silva</v>
      </c>
    </row>
    <row r="1043" spans="1:10" x14ac:dyDescent="0.25">
      <c r="A1043" s="40" t="s">
        <v>2860</v>
      </c>
      <c r="B1043" s="41">
        <v>999881985568237</v>
      </c>
      <c r="C1043" s="40" t="s">
        <v>43</v>
      </c>
      <c r="D1043" s="40" t="s">
        <v>10</v>
      </c>
      <c r="E1043" s="40" t="s">
        <v>2861</v>
      </c>
      <c r="F1043" s="40" t="s">
        <v>1188</v>
      </c>
      <c r="G1043" s="40" t="s">
        <v>1141</v>
      </c>
      <c r="H1043" s="40">
        <v>0</v>
      </c>
      <c r="I1043" s="37" t="s">
        <v>33</v>
      </c>
      <c r="J1043" t="str">
        <f>VLOOKUP(F1043,'[1]BASE DE DADOS'!$A:$C,3,0)</f>
        <v>Cleber Silvestre Almeida e Silva</v>
      </c>
    </row>
    <row r="1044" spans="1:10" x14ac:dyDescent="0.25">
      <c r="A1044" s="40" t="s">
        <v>2862</v>
      </c>
      <c r="B1044" s="41">
        <v>999882067938581</v>
      </c>
      <c r="C1044" s="40" t="s">
        <v>40</v>
      </c>
      <c r="D1044" s="40" t="s">
        <v>10</v>
      </c>
      <c r="E1044" s="40" t="s">
        <v>2863</v>
      </c>
      <c r="F1044" s="40" t="s">
        <v>2864</v>
      </c>
      <c r="G1044" s="40" t="s">
        <v>1141</v>
      </c>
      <c r="H1044" s="40" t="s">
        <v>2865</v>
      </c>
      <c r="I1044" s="37" t="s">
        <v>32</v>
      </c>
      <c r="J1044" t="str">
        <f>VLOOKUP(F1044,'[1]BASE DE DADOS'!$A:$C,3,0)</f>
        <v xml:space="preserve">Alex Junior Rodrigues dos santos </v>
      </c>
    </row>
    <row r="1045" spans="1:10" x14ac:dyDescent="0.25">
      <c r="A1045" s="40" t="s">
        <v>2866</v>
      </c>
      <c r="B1045" s="41">
        <v>999882001289179</v>
      </c>
      <c r="C1045" s="40" t="s">
        <v>40</v>
      </c>
      <c r="D1045" s="40" t="s">
        <v>10</v>
      </c>
      <c r="E1045" s="40" t="s">
        <v>2867</v>
      </c>
      <c r="F1045" s="40" t="s">
        <v>1144</v>
      </c>
      <c r="G1045" s="40" t="s">
        <v>1141</v>
      </c>
      <c r="H1045" s="40">
        <v>0</v>
      </c>
      <c r="I1045" s="37" t="s">
        <v>33</v>
      </c>
      <c r="J1045" t="str">
        <f>VLOOKUP(F1045,'[1]BASE DE DADOS'!$A:$C,3,0)</f>
        <v xml:space="preserve">Alex Junior Rodrigues dos santos </v>
      </c>
    </row>
    <row r="1046" spans="1:10" x14ac:dyDescent="0.25">
      <c r="A1046" s="40" t="s">
        <v>2868</v>
      </c>
      <c r="B1046" s="41">
        <v>999881952781705</v>
      </c>
      <c r="C1046" s="40" t="s">
        <v>40</v>
      </c>
      <c r="D1046" s="40" t="s">
        <v>10</v>
      </c>
      <c r="E1046" s="40" t="s">
        <v>2869</v>
      </c>
      <c r="F1046" s="40" t="s">
        <v>1323</v>
      </c>
      <c r="G1046" s="40" t="s">
        <v>1141</v>
      </c>
      <c r="H1046" s="40">
        <v>0</v>
      </c>
      <c r="I1046" s="37" t="s">
        <v>33</v>
      </c>
      <c r="J1046" t="str">
        <f>VLOOKUP(F1046,'[1]BASE DE DADOS'!$A:$C,3,0)</f>
        <v>Cleber Silvestre Almeida e Silva</v>
      </c>
    </row>
    <row r="1047" spans="1:10" x14ac:dyDescent="0.25">
      <c r="A1047" s="40" t="s">
        <v>2870</v>
      </c>
      <c r="B1047" s="41">
        <v>999881962698375</v>
      </c>
      <c r="C1047" s="40" t="s">
        <v>43</v>
      </c>
      <c r="D1047" s="40" t="s">
        <v>10</v>
      </c>
      <c r="E1047" s="40" t="s">
        <v>2871</v>
      </c>
      <c r="F1047" s="40" t="s">
        <v>1263</v>
      </c>
      <c r="G1047" s="40" t="s">
        <v>1141</v>
      </c>
      <c r="H1047" s="40">
        <v>0</v>
      </c>
      <c r="I1047" s="37" t="s">
        <v>33</v>
      </c>
      <c r="J1047" t="str">
        <f>VLOOKUP(F1047,'[1]BASE DE DADOS'!$A:$C,3,0)</f>
        <v>Eduardo Carvalho Vieira dos Santos</v>
      </c>
    </row>
    <row r="1048" spans="1:10" x14ac:dyDescent="0.25">
      <c r="A1048" s="40" t="s">
        <v>2872</v>
      </c>
      <c r="B1048" s="41">
        <v>999881981601177</v>
      </c>
      <c r="C1048" s="40" t="s">
        <v>40</v>
      </c>
      <c r="D1048" s="40" t="s">
        <v>10</v>
      </c>
      <c r="E1048" s="40" t="s">
        <v>2873</v>
      </c>
      <c r="F1048" s="40" t="s">
        <v>1144</v>
      </c>
      <c r="G1048" s="40" t="s">
        <v>1141</v>
      </c>
      <c r="H1048" s="40">
        <v>0</v>
      </c>
      <c r="I1048" s="37" t="s">
        <v>33</v>
      </c>
      <c r="J1048" t="str">
        <f>VLOOKUP(F1048,'[1]BASE DE DADOS'!$A:$C,3,0)</f>
        <v xml:space="preserve">Alex Junior Rodrigues dos santos </v>
      </c>
    </row>
    <row r="1049" spans="1:10" x14ac:dyDescent="0.25">
      <c r="A1049" s="40" t="s">
        <v>2874</v>
      </c>
      <c r="B1049" s="41">
        <v>999882040325216</v>
      </c>
      <c r="C1049" s="40" t="s">
        <v>43</v>
      </c>
      <c r="D1049" s="40" t="s">
        <v>10</v>
      </c>
      <c r="E1049" s="40" t="s">
        <v>2875</v>
      </c>
      <c r="F1049" s="40" t="s">
        <v>1529</v>
      </c>
      <c r="G1049" s="40" t="s">
        <v>1141</v>
      </c>
      <c r="H1049" s="40">
        <v>0</v>
      </c>
      <c r="I1049" s="37" t="s">
        <v>33</v>
      </c>
      <c r="J1049" t="str">
        <f>VLOOKUP(F1049,'[1]BASE DE DADOS'!$A:$C,3,0)</f>
        <v>Cleber Silvestre Almeida e Silva</v>
      </c>
    </row>
    <row r="1050" spans="1:10" x14ac:dyDescent="0.25">
      <c r="A1050" s="40" t="s">
        <v>2876</v>
      </c>
      <c r="B1050" s="41">
        <v>999882002954957</v>
      </c>
      <c r="C1050" s="40" t="s">
        <v>43</v>
      </c>
      <c r="D1050" s="40" t="s">
        <v>10</v>
      </c>
      <c r="E1050" s="40" t="s">
        <v>2877</v>
      </c>
      <c r="F1050" s="40" t="s">
        <v>2284</v>
      </c>
      <c r="G1050" s="40" t="s">
        <v>1141</v>
      </c>
      <c r="H1050" s="40">
        <v>0</v>
      </c>
      <c r="I1050" s="37" t="s">
        <v>33</v>
      </c>
      <c r="J1050" t="str">
        <f>VLOOKUP(F1050,'[1]BASE DE DADOS'!$A:$C,3,0)</f>
        <v xml:space="preserve">Alex Junior Rodrigues dos santos </v>
      </c>
    </row>
    <row r="1051" spans="1:10" x14ac:dyDescent="0.25">
      <c r="A1051" s="40" t="s">
        <v>2878</v>
      </c>
      <c r="B1051" s="41">
        <v>999881999283412</v>
      </c>
      <c r="C1051" s="40" t="s">
        <v>43</v>
      </c>
      <c r="D1051" s="40" t="s">
        <v>10</v>
      </c>
      <c r="E1051" s="40" t="s">
        <v>2879</v>
      </c>
      <c r="F1051" s="40" t="s">
        <v>1239</v>
      </c>
      <c r="G1051" s="40" t="s">
        <v>1141</v>
      </c>
      <c r="H1051" s="40">
        <v>0</v>
      </c>
      <c r="I1051" s="37" t="s">
        <v>33</v>
      </c>
      <c r="J1051" t="str">
        <f>VLOOKUP(F1051,'[1]BASE DE DADOS'!$A:$C,3,0)</f>
        <v>Eduardo Carvalho Vieira dos Santos</v>
      </c>
    </row>
    <row r="1052" spans="1:10" x14ac:dyDescent="0.25">
      <c r="A1052" s="40" t="s">
        <v>2880</v>
      </c>
      <c r="B1052" s="41">
        <v>999882038291198</v>
      </c>
      <c r="C1052" s="40" t="s">
        <v>40</v>
      </c>
      <c r="D1052" s="40" t="s">
        <v>10</v>
      </c>
      <c r="E1052" s="40" t="s">
        <v>2881</v>
      </c>
      <c r="F1052" s="40" t="s">
        <v>1247</v>
      </c>
      <c r="G1052" s="40" t="s">
        <v>1141</v>
      </c>
      <c r="H1052" s="40">
        <v>0</v>
      </c>
      <c r="I1052" s="37" t="s">
        <v>33</v>
      </c>
      <c r="J1052" t="str">
        <f>VLOOKUP(F1052,'[1]BASE DE DADOS'!$A:$C,3,0)</f>
        <v>Cleber Silvestre Almeida e Silva</v>
      </c>
    </row>
    <row r="1053" spans="1:10" x14ac:dyDescent="0.25">
      <c r="A1053" s="40" t="s">
        <v>2882</v>
      </c>
      <c r="B1053" s="41">
        <v>999881969705828</v>
      </c>
      <c r="C1053" s="40" t="s">
        <v>43</v>
      </c>
      <c r="D1053" s="40" t="s">
        <v>10</v>
      </c>
      <c r="E1053" s="40" t="s">
        <v>2883</v>
      </c>
      <c r="F1053" s="40" t="s">
        <v>1169</v>
      </c>
      <c r="G1053" s="40" t="s">
        <v>1141</v>
      </c>
      <c r="H1053" s="40">
        <v>0</v>
      </c>
      <c r="I1053" s="37" t="s">
        <v>33</v>
      </c>
      <c r="J1053" t="str">
        <f>VLOOKUP(F1053,'[1]BASE DE DADOS'!$A:$C,3,0)</f>
        <v>Cleber Silvestre Almeida e Silva</v>
      </c>
    </row>
    <row r="1054" spans="1:10" x14ac:dyDescent="0.25">
      <c r="A1054" s="40" t="s">
        <v>2884</v>
      </c>
      <c r="B1054" s="41">
        <v>999881933826479</v>
      </c>
      <c r="C1054" s="40" t="s">
        <v>43</v>
      </c>
      <c r="D1054" s="40" t="s">
        <v>10</v>
      </c>
      <c r="E1054" s="40" t="s">
        <v>2885</v>
      </c>
      <c r="F1054" s="40" t="s">
        <v>1332</v>
      </c>
      <c r="G1054" s="40" t="s">
        <v>1141</v>
      </c>
      <c r="H1054" s="40">
        <v>0</v>
      </c>
      <c r="I1054" s="37" t="s">
        <v>33</v>
      </c>
      <c r="J1054" t="str">
        <f>VLOOKUP(F1054,'[1]BASE DE DADOS'!$A:$C,3,0)</f>
        <v xml:space="preserve">Alex Junior Rodrigues dos santos </v>
      </c>
    </row>
    <row r="1055" spans="1:10" x14ac:dyDescent="0.25">
      <c r="A1055" s="40" t="s">
        <v>2886</v>
      </c>
      <c r="B1055" s="41">
        <v>999882060316071</v>
      </c>
      <c r="C1055" s="40" t="s">
        <v>40</v>
      </c>
      <c r="D1055" s="40" t="s">
        <v>10</v>
      </c>
      <c r="E1055" s="40" t="s">
        <v>2887</v>
      </c>
      <c r="F1055" s="40" t="s">
        <v>1184</v>
      </c>
      <c r="G1055" s="40" t="s">
        <v>1141</v>
      </c>
      <c r="H1055" s="40">
        <v>0</v>
      </c>
      <c r="I1055" s="37" t="s">
        <v>33</v>
      </c>
      <c r="J1055" t="str">
        <f>VLOOKUP(F1055,'[1]BASE DE DADOS'!$A:$C,3,0)</f>
        <v>Cleber Silvestre Almeida e Silva</v>
      </c>
    </row>
    <row r="1056" spans="1:10" x14ac:dyDescent="0.25">
      <c r="A1056" s="40" t="s">
        <v>2888</v>
      </c>
      <c r="B1056" s="41">
        <v>999881982794754</v>
      </c>
      <c r="C1056" s="40" t="s">
        <v>43</v>
      </c>
      <c r="D1056" s="40" t="s">
        <v>10</v>
      </c>
      <c r="E1056" s="40" t="s">
        <v>2889</v>
      </c>
      <c r="F1056" s="40" t="s">
        <v>1140</v>
      </c>
      <c r="G1056" s="40" t="s">
        <v>1141</v>
      </c>
      <c r="H1056" s="40">
        <v>0</v>
      </c>
      <c r="I1056" s="37" t="s">
        <v>33</v>
      </c>
      <c r="J1056" t="str">
        <f>VLOOKUP(F1056,'[1]BASE DE DADOS'!$A:$C,3,0)</f>
        <v xml:space="preserve">Alex Junior Rodrigues dos santos </v>
      </c>
    </row>
    <row r="1057" spans="1:10" x14ac:dyDescent="0.25">
      <c r="A1057" s="40" t="s">
        <v>2890</v>
      </c>
      <c r="B1057" s="41">
        <v>999882068449241</v>
      </c>
      <c r="C1057" s="40" t="s">
        <v>40</v>
      </c>
      <c r="D1057" s="40" t="s">
        <v>10</v>
      </c>
      <c r="E1057" s="40" t="s">
        <v>2891</v>
      </c>
      <c r="F1057" s="40" t="s">
        <v>2892</v>
      </c>
      <c r="G1057" s="40" t="s">
        <v>1141</v>
      </c>
      <c r="H1057" s="40" t="s">
        <v>2893</v>
      </c>
      <c r="I1057" s="37" t="s">
        <v>32</v>
      </c>
      <c r="J1057" t="str">
        <f>VLOOKUP(F1057,'[1]BASE DE DADOS'!$A:$C,3,0)</f>
        <v>Hiago Vinicius Alves Dos Santos Silva</v>
      </c>
    </row>
    <row r="1058" spans="1:10" x14ac:dyDescent="0.25">
      <c r="A1058" s="40" t="s">
        <v>2894</v>
      </c>
      <c r="B1058" s="41">
        <v>999882062911385</v>
      </c>
      <c r="C1058" s="40" t="s">
        <v>40</v>
      </c>
      <c r="D1058" s="40" t="s">
        <v>10</v>
      </c>
      <c r="E1058" s="40" t="s">
        <v>2895</v>
      </c>
      <c r="F1058" s="40" t="s">
        <v>1196</v>
      </c>
      <c r="G1058" s="40" t="s">
        <v>1141</v>
      </c>
      <c r="H1058" s="40" t="s">
        <v>2896</v>
      </c>
      <c r="I1058" s="37" t="s">
        <v>32</v>
      </c>
      <c r="J1058" t="str">
        <f>VLOOKUP(F1058,'[1]BASE DE DADOS'!$A:$C,3,0)</f>
        <v xml:space="preserve">Alex Junior Rodrigues dos santos </v>
      </c>
    </row>
    <row r="1059" spans="1:10" x14ac:dyDescent="0.25">
      <c r="A1059" s="40" t="s">
        <v>2897</v>
      </c>
      <c r="B1059" s="41">
        <v>999882020451863</v>
      </c>
      <c r="C1059" s="40" t="s">
        <v>40</v>
      </c>
      <c r="D1059" s="40" t="s">
        <v>10</v>
      </c>
      <c r="E1059" s="40" t="s">
        <v>2898</v>
      </c>
      <c r="F1059" s="40" t="s">
        <v>1188</v>
      </c>
      <c r="G1059" s="40" t="s">
        <v>1141</v>
      </c>
      <c r="H1059" s="40">
        <v>0</v>
      </c>
      <c r="I1059" s="37" t="s">
        <v>33</v>
      </c>
      <c r="J1059" t="str">
        <f>VLOOKUP(F1059,'[1]BASE DE DADOS'!$A:$C,3,0)</f>
        <v>Cleber Silvestre Almeida e Silva</v>
      </c>
    </row>
    <row r="1060" spans="1:10" x14ac:dyDescent="0.25">
      <c r="A1060" s="40" t="s">
        <v>2899</v>
      </c>
      <c r="B1060" s="41">
        <v>999882021994815</v>
      </c>
      <c r="C1060" s="40" t="s">
        <v>40</v>
      </c>
      <c r="D1060" s="40" t="s">
        <v>10</v>
      </c>
      <c r="E1060" s="40" t="s">
        <v>2900</v>
      </c>
      <c r="F1060" s="40" t="s">
        <v>1297</v>
      </c>
      <c r="G1060" s="40" t="s">
        <v>1141</v>
      </c>
      <c r="H1060" s="40">
        <v>0</v>
      </c>
      <c r="I1060" s="37" t="s">
        <v>33</v>
      </c>
      <c r="J1060" t="str">
        <f>VLOOKUP(F1060,'[1]BASE DE DADOS'!$A:$C,3,0)</f>
        <v>Cleber Silvestre Almeida e Silva</v>
      </c>
    </row>
    <row r="1061" spans="1:10" x14ac:dyDescent="0.25">
      <c r="A1061" s="40" t="s">
        <v>2901</v>
      </c>
      <c r="B1061" s="41">
        <v>999881997670811</v>
      </c>
      <c r="C1061" s="40" t="s">
        <v>40</v>
      </c>
      <c r="D1061" s="40" t="s">
        <v>10</v>
      </c>
      <c r="E1061" s="40" t="s">
        <v>2902</v>
      </c>
      <c r="F1061" s="40" t="s">
        <v>1278</v>
      </c>
      <c r="G1061" s="40" t="s">
        <v>1141</v>
      </c>
      <c r="H1061" s="40">
        <v>0</v>
      </c>
      <c r="I1061" s="37" t="s">
        <v>33</v>
      </c>
      <c r="J1061" t="str">
        <f>VLOOKUP(F1061,'[1]BASE DE DADOS'!$A:$C,3,0)</f>
        <v>Eduardo Carvalho Vieira dos Santos</v>
      </c>
    </row>
    <row r="1062" spans="1:10" x14ac:dyDescent="0.25">
      <c r="A1062" s="40" t="s">
        <v>2903</v>
      </c>
      <c r="B1062" s="41">
        <v>999881965786643</v>
      </c>
      <c r="C1062" s="40" t="s">
        <v>40</v>
      </c>
      <c r="D1062" s="40" t="s">
        <v>10</v>
      </c>
      <c r="E1062" s="40" t="s">
        <v>2904</v>
      </c>
      <c r="F1062" s="40" t="s">
        <v>1483</v>
      </c>
      <c r="G1062" s="40" t="s">
        <v>1141</v>
      </c>
      <c r="H1062" s="40">
        <v>0</v>
      </c>
      <c r="I1062" s="37" t="s">
        <v>33</v>
      </c>
      <c r="J1062" t="str">
        <f>VLOOKUP(F1062,'[1]BASE DE DADOS'!$A:$C,3,0)</f>
        <v>Eduardo Carvalho Vieira dos Santos</v>
      </c>
    </row>
    <row r="1063" spans="1:10" x14ac:dyDescent="0.25">
      <c r="A1063" s="40" t="s">
        <v>2905</v>
      </c>
      <c r="B1063" s="41">
        <v>999882003420351</v>
      </c>
      <c r="C1063" s="40" t="s">
        <v>40</v>
      </c>
      <c r="D1063" s="40" t="s">
        <v>10</v>
      </c>
      <c r="E1063" s="40" t="s">
        <v>2906</v>
      </c>
      <c r="F1063" s="40" t="s">
        <v>1165</v>
      </c>
      <c r="G1063" s="40" t="s">
        <v>1141</v>
      </c>
      <c r="H1063" s="40">
        <v>0</v>
      </c>
      <c r="I1063" s="37" t="s">
        <v>33</v>
      </c>
      <c r="J1063" t="str">
        <f>VLOOKUP(F1063,'[1]BASE DE DADOS'!$A:$C,3,0)</f>
        <v>Eduardo Carvalho Vieira dos Santos</v>
      </c>
    </row>
    <row r="1064" spans="1:10" x14ac:dyDescent="0.25">
      <c r="A1064" s="40" t="s">
        <v>2907</v>
      </c>
      <c r="B1064" s="41">
        <v>999882018984691</v>
      </c>
      <c r="C1064" s="40" t="s">
        <v>43</v>
      </c>
      <c r="D1064" s="40" t="s">
        <v>10</v>
      </c>
      <c r="E1064" s="40" t="s">
        <v>2908</v>
      </c>
      <c r="F1064" s="40" t="s">
        <v>1278</v>
      </c>
      <c r="G1064" s="40" t="s">
        <v>1141</v>
      </c>
      <c r="H1064" s="40">
        <v>0</v>
      </c>
      <c r="I1064" s="37" t="s">
        <v>33</v>
      </c>
      <c r="J1064" t="str">
        <f>VLOOKUP(F1064,'[1]BASE DE DADOS'!$A:$C,3,0)</f>
        <v>Eduardo Carvalho Vieira dos Santos</v>
      </c>
    </row>
    <row r="1065" spans="1:10" x14ac:dyDescent="0.25">
      <c r="A1065" s="40" t="s">
        <v>2909</v>
      </c>
      <c r="B1065" s="41">
        <v>999881984614975</v>
      </c>
      <c r="C1065" s="40" t="s">
        <v>43</v>
      </c>
      <c r="D1065" s="40" t="s">
        <v>10</v>
      </c>
      <c r="E1065" s="40" t="s">
        <v>2910</v>
      </c>
      <c r="F1065" s="40" t="s">
        <v>1176</v>
      </c>
      <c r="G1065" s="40" t="s">
        <v>1141</v>
      </c>
      <c r="H1065" s="40">
        <v>0</v>
      </c>
      <c r="I1065" s="37" t="s">
        <v>33</v>
      </c>
      <c r="J1065" t="str">
        <f>VLOOKUP(F1065,'[1]BASE DE DADOS'!$A:$C,3,0)</f>
        <v>Cleber Silvestre Almeida e Silva</v>
      </c>
    </row>
    <row r="1066" spans="1:10" x14ac:dyDescent="0.25">
      <c r="A1066" s="36" t="s">
        <v>2911</v>
      </c>
      <c r="B1066" s="38">
        <v>999882010079625</v>
      </c>
      <c r="C1066" s="36" t="s">
        <v>43</v>
      </c>
      <c r="D1066" s="36" t="s">
        <v>10</v>
      </c>
      <c r="E1066" s="36" t="s">
        <v>2912</v>
      </c>
      <c r="F1066" s="36" t="s">
        <v>2913</v>
      </c>
      <c r="G1066" s="36" t="s">
        <v>1141</v>
      </c>
      <c r="H1066" s="36">
        <v>0</v>
      </c>
      <c r="I1066" s="37" t="s">
        <v>33</v>
      </c>
      <c r="J1066" t="str">
        <f>VLOOKUP(F1066,'[1]BASE DE DADOS'!$A:$C,3,0)</f>
        <v xml:space="preserve">Alex Junior Rodrigues dos santos </v>
      </c>
    </row>
    <row r="1067" spans="1:10" x14ac:dyDescent="0.25">
      <c r="A1067" s="36" t="s">
        <v>2914</v>
      </c>
      <c r="B1067" s="38">
        <v>999881963408061</v>
      </c>
      <c r="C1067" s="36" t="s">
        <v>43</v>
      </c>
      <c r="D1067" s="36" t="s">
        <v>10</v>
      </c>
      <c r="E1067" s="36" t="s">
        <v>2915</v>
      </c>
      <c r="F1067" s="36" t="s">
        <v>2081</v>
      </c>
      <c r="G1067" s="36" t="s">
        <v>1141</v>
      </c>
      <c r="H1067" s="36">
        <v>0</v>
      </c>
      <c r="I1067" s="37" t="s">
        <v>33</v>
      </c>
      <c r="J1067" t="str">
        <f>VLOOKUP(F1067,'[1]BASE DE DADOS'!$A:$C,3,0)</f>
        <v>Cleber Silvestre Almeida e Silva</v>
      </c>
    </row>
    <row r="1068" spans="1:10" x14ac:dyDescent="0.25">
      <c r="A1068" s="36" t="s">
        <v>2916</v>
      </c>
      <c r="B1068" s="38">
        <v>999882020186234</v>
      </c>
      <c r="C1068" s="36" t="s">
        <v>43</v>
      </c>
      <c r="D1068" s="36" t="s">
        <v>10</v>
      </c>
      <c r="E1068" s="36" t="s">
        <v>2917</v>
      </c>
      <c r="F1068" s="36" t="s">
        <v>1144</v>
      </c>
      <c r="G1068" s="36" t="s">
        <v>1141</v>
      </c>
      <c r="H1068" s="36">
        <v>0</v>
      </c>
      <c r="I1068" s="37" t="s">
        <v>33</v>
      </c>
      <c r="J1068" t="str">
        <f>VLOOKUP(F1068,'[1]BASE DE DADOS'!$A:$C,3,0)</f>
        <v xml:space="preserve">Alex Junior Rodrigues dos santos </v>
      </c>
    </row>
    <row r="1069" spans="1:10" x14ac:dyDescent="0.25">
      <c r="A1069" s="36" t="s">
        <v>2918</v>
      </c>
      <c r="B1069" s="38">
        <v>999881951431347</v>
      </c>
      <c r="C1069" s="36" t="s">
        <v>43</v>
      </c>
      <c r="D1069" s="36" t="s">
        <v>10</v>
      </c>
      <c r="E1069" s="36" t="s">
        <v>2919</v>
      </c>
      <c r="F1069" s="36" t="s">
        <v>1352</v>
      </c>
      <c r="G1069" s="36" t="s">
        <v>1141</v>
      </c>
      <c r="H1069" s="36">
        <v>0</v>
      </c>
      <c r="I1069" s="37" t="s">
        <v>33</v>
      </c>
      <c r="J1069" t="str">
        <f>VLOOKUP(F1069,'[1]BASE DE DADOS'!$A:$C,3,0)</f>
        <v>Hiago Vinicius Alves Dos Santos Silva</v>
      </c>
    </row>
    <row r="1070" spans="1:10" x14ac:dyDescent="0.25">
      <c r="A1070" s="36" t="s">
        <v>2920</v>
      </c>
      <c r="B1070" s="38">
        <v>999881958963728</v>
      </c>
      <c r="C1070" s="36" t="s">
        <v>41</v>
      </c>
      <c r="D1070" s="36" t="s">
        <v>10</v>
      </c>
      <c r="E1070" s="36" t="s">
        <v>2921</v>
      </c>
      <c r="F1070" s="36" t="s">
        <v>1169</v>
      </c>
      <c r="G1070" s="36" t="s">
        <v>1141</v>
      </c>
      <c r="H1070" s="36">
        <v>0</v>
      </c>
      <c r="I1070" s="37" t="s">
        <v>33</v>
      </c>
      <c r="J1070" t="str">
        <f>VLOOKUP(F1070,'[1]BASE DE DADOS'!$A:$C,3,0)</f>
        <v>Cleber Silvestre Almeida e Silva</v>
      </c>
    </row>
    <row r="1071" spans="1:10" x14ac:dyDescent="0.25">
      <c r="A1071" s="36" t="s">
        <v>2922</v>
      </c>
      <c r="B1071" s="38">
        <v>999882057270097</v>
      </c>
      <c r="C1071" s="36" t="s">
        <v>40</v>
      </c>
      <c r="D1071" s="36" t="s">
        <v>10</v>
      </c>
      <c r="E1071" s="36" t="s">
        <v>2923</v>
      </c>
      <c r="F1071" s="36" t="s">
        <v>1323</v>
      </c>
      <c r="G1071" s="36" t="s">
        <v>1141</v>
      </c>
      <c r="H1071" s="36" t="s">
        <v>2924</v>
      </c>
      <c r="I1071" s="37" t="s">
        <v>32</v>
      </c>
      <c r="J1071" t="str">
        <f>VLOOKUP(F1071,'[1]BASE DE DADOS'!$A:$C,3,0)</f>
        <v>Cleber Silvestre Almeida e Silva</v>
      </c>
    </row>
    <row r="1072" spans="1:10" x14ac:dyDescent="0.25">
      <c r="A1072" s="36" t="s">
        <v>2925</v>
      </c>
      <c r="B1072" s="38">
        <v>999882032410630</v>
      </c>
      <c r="C1072" s="36" t="s">
        <v>43</v>
      </c>
      <c r="D1072" s="36" t="s">
        <v>10</v>
      </c>
      <c r="E1072" s="36" t="s">
        <v>2926</v>
      </c>
      <c r="F1072" s="36" t="s">
        <v>1384</v>
      </c>
      <c r="G1072" s="36" t="s">
        <v>1141</v>
      </c>
      <c r="H1072" s="36">
        <v>0</v>
      </c>
      <c r="I1072" s="37" t="s">
        <v>33</v>
      </c>
      <c r="J1072" t="str">
        <f>VLOOKUP(F1072,'[1]BASE DE DADOS'!$A:$C,3,0)</f>
        <v xml:space="preserve">Alex Junior Rodrigues dos santos </v>
      </c>
    </row>
    <row r="1073" spans="1:10" x14ac:dyDescent="0.25">
      <c r="A1073" s="36" t="s">
        <v>2927</v>
      </c>
      <c r="B1073" s="38">
        <v>999881968380934</v>
      </c>
      <c r="C1073" s="36" t="s">
        <v>43</v>
      </c>
      <c r="D1073" s="36" t="s">
        <v>10</v>
      </c>
      <c r="E1073" s="36" t="s">
        <v>2928</v>
      </c>
      <c r="F1073" s="36" t="s">
        <v>1388</v>
      </c>
      <c r="G1073" s="36" t="s">
        <v>1141</v>
      </c>
      <c r="H1073" s="36">
        <v>0</v>
      </c>
      <c r="I1073" s="37" t="s">
        <v>33</v>
      </c>
      <c r="J1073" t="str">
        <f>VLOOKUP(F1073,'[1]BASE DE DADOS'!$A:$C,3,0)</f>
        <v xml:space="preserve">Alex Junior Rodrigues dos santos </v>
      </c>
    </row>
    <row r="1074" spans="1:10" x14ac:dyDescent="0.25">
      <c r="A1074" s="36" t="s">
        <v>2929</v>
      </c>
      <c r="B1074" s="38">
        <v>999882030641372</v>
      </c>
      <c r="C1074" s="36" t="s">
        <v>40</v>
      </c>
      <c r="D1074" s="36" t="s">
        <v>10</v>
      </c>
      <c r="E1074" s="36" t="s">
        <v>2930</v>
      </c>
      <c r="F1074" s="36" t="s">
        <v>1794</v>
      </c>
      <c r="G1074" s="36" t="s">
        <v>1141</v>
      </c>
      <c r="H1074" s="36" t="s">
        <v>2931</v>
      </c>
      <c r="I1074" s="37" t="s">
        <v>32</v>
      </c>
      <c r="J1074" t="str">
        <f>VLOOKUP(F1074,'[1]BASE DE DADOS'!$A:$C,3,0)</f>
        <v>Cleber Silvestre Almeida e Silva</v>
      </c>
    </row>
    <row r="1075" spans="1:10" x14ac:dyDescent="0.25">
      <c r="A1075" s="36" t="s">
        <v>2932</v>
      </c>
      <c r="B1075" s="38">
        <v>999881995269762</v>
      </c>
      <c r="C1075" s="36" t="s">
        <v>40</v>
      </c>
      <c r="D1075" s="36" t="s">
        <v>10</v>
      </c>
      <c r="E1075" s="36" t="s">
        <v>2933</v>
      </c>
      <c r="F1075" s="36" t="s">
        <v>2934</v>
      </c>
      <c r="G1075" s="36" t="s">
        <v>1141</v>
      </c>
      <c r="H1075" s="36">
        <v>0</v>
      </c>
      <c r="I1075" s="37" t="s">
        <v>33</v>
      </c>
      <c r="J1075" t="str">
        <f>VLOOKUP(F1075,'[1]BASE DE DADOS'!$A:$C,3,0)</f>
        <v xml:space="preserve">Alex Junior Rodrigues dos santos </v>
      </c>
    </row>
    <row r="1076" spans="1:10" x14ac:dyDescent="0.25">
      <c r="A1076" s="36" t="s">
        <v>2935</v>
      </c>
      <c r="B1076" s="38">
        <v>999882025138989</v>
      </c>
      <c r="C1076" s="36" t="s">
        <v>43</v>
      </c>
      <c r="D1076" s="36" t="s">
        <v>10</v>
      </c>
      <c r="E1076" s="36" t="s">
        <v>2936</v>
      </c>
      <c r="F1076" s="36" t="s">
        <v>1144</v>
      </c>
      <c r="G1076" s="36" t="s">
        <v>1141</v>
      </c>
      <c r="H1076" s="36">
        <v>0</v>
      </c>
      <c r="I1076" s="37" t="s">
        <v>33</v>
      </c>
      <c r="J1076" t="str">
        <f>VLOOKUP(F1076,'[1]BASE DE DADOS'!$A:$C,3,0)</f>
        <v xml:space="preserve">Alex Junior Rodrigues dos santos </v>
      </c>
    </row>
    <row r="1077" spans="1:10" x14ac:dyDescent="0.25">
      <c r="A1077" s="36" t="s">
        <v>2937</v>
      </c>
      <c r="B1077" s="38">
        <v>999882007799564</v>
      </c>
      <c r="C1077" s="36" t="s">
        <v>43</v>
      </c>
      <c r="D1077" s="36" t="s">
        <v>10</v>
      </c>
      <c r="E1077" s="36" t="s">
        <v>2938</v>
      </c>
      <c r="F1077" s="36" t="s">
        <v>1144</v>
      </c>
      <c r="G1077" s="36" t="s">
        <v>1141</v>
      </c>
      <c r="H1077" s="36">
        <v>0</v>
      </c>
      <c r="I1077" s="37" t="s">
        <v>33</v>
      </c>
      <c r="J1077" t="str">
        <f>VLOOKUP(F1077,'[1]BASE DE DADOS'!$A:$C,3,0)</f>
        <v xml:space="preserve">Alex Junior Rodrigues dos santos </v>
      </c>
    </row>
    <row r="1078" spans="1:10" x14ac:dyDescent="0.25">
      <c r="A1078" s="36" t="s">
        <v>2939</v>
      </c>
      <c r="B1078" s="38">
        <v>999882023017550</v>
      </c>
      <c r="C1078" s="36" t="s">
        <v>40</v>
      </c>
      <c r="D1078" s="36" t="s">
        <v>10</v>
      </c>
      <c r="E1078" s="36" t="s">
        <v>2940</v>
      </c>
      <c r="F1078" s="36" t="s">
        <v>1352</v>
      </c>
      <c r="G1078" s="36" t="s">
        <v>1141</v>
      </c>
      <c r="H1078" s="36">
        <v>0</v>
      </c>
      <c r="I1078" s="37" t="s">
        <v>33</v>
      </c>
      <c r="J1078" t="str">
        <f>VLOOKUP(F1078,'[1]BASE DE DADOS'!$A:$C,3,0)</f>
        <v>Hiago Vinicius Alves Dos Santos Silva</v>
      </c>
    </row>
    <row r="1079" spans="1:10" x14ac:dyDescent="0.25">
      <c r="A1079" s="36" t="s">
        <v>2941</v>
      </c>
      <c r="B1079" s="38">
        <v>999881948694306</v>
      </c>
      <c r="C1079" s="36" t="s">
        <v>43</v>
      </c>
      <c r="D1079" s="36" t="s">
        <v>10</v>
      </c>
      <c r="E1079" s="36" t="s">
        <v>2942</v>
      </c>
      <c r="F1079" s="36" t="s">
        <v>2606</v>
      </c>
      <c r="G1079" s="36" t="s">
        <v>1141</v>
      </c>
      <c r="H1079" s="36">
        <v>0</v>
      </c>
      <c r="I1079" s="37" t="s">
        <v>33</v>
      </c>
      <c r="J1079" t="str">
        <f>VLOOKUP(F1079,'[1]BASE DE DADOS'!$A:$C,3,0)</f>
        <v xml:space="preserve">Alex Junior Rodrigues dos santos </v>
      </c>
    </row>
    <row r="1080" spans="1:10" x14ac:dyDescent="0.25">
      <c r="A1080" s="36" t="s">
        <v>2943</v>
      </c>
      <c r="B1080" s="38">
        <v>999882049235137</v>
      </c>
      <c r="C1080" s="36" t="s">
        <v>40</v>
      </c>
      <c r="D1080" s="36" t="s">
        <v>10</v>
      </c>
      <c r="E1080" s="36" t="s">
        <v>2944</v>
      </c>
      <c r="F1080" s="36" t="s">
        <v>1794</v>
      </c>
      <c r="G1080" s="36" t="s">
        <v>1141</v>
      </c>
      <c r="H1080" s="36" t="s">
        <v>2945</v>
      </c>
      <c r="I1080" s="37" t="s">
        <v>32</v>
      </c>
      <c r="J1080" t="str">
        <f>VLOOKUP(F1080,'[1]BASE DE DADOS'!$A:$C,3,0)</f>
        <v>Cleber Silvestre Almeida e Silva</v>
      </c>
    </row>
    <row r="1081" spans="1:10" x14ac:dyDescent="0.25">
      <c r="A1081" s="36" t="s">
        <v>2946</v>
      </c>
      <c r="B1081" s="38">
        <v>999882015143010</v>
      </c>
      <c r="C1081" s="36" t="s">
        <v>43</v>
      </c>
      <c r="D1081" s="36" t="s">
        <v>10</v>
      </c>
      <c r="E1081" s="36" t="s">
        <v>2947</v>
      </c>
      <c r="F1081" s="36" t="s">
        <v>2284</v>
      </c>
      <c r="G1081" s="36" t="s">
        <v>1141</v>
      </c>
      <c r="H1081" s="36">
        <v>0</v>
      </c>
      <c r="I1081" s="37" t="s">
        <v>33</v>
      </c>
      <c r="J1081" t="str">
        <f>VLOOKUP(F1081,'[1]BASE DE DADOS'!$A:$C,3,0)</f>
        <v xml:space="preserve">Alex Junior Rodrigues dos santos </v>
      </c>
    </row>
    <row r="1082" spans="1:10" x14ac:dyDescent="0.25">
      <c r="A1082" s="36" t="s">
        <v>2948</v>
      </c>
      <c r="B1082" s="38">
        <v>999882004469086</v>
      </c>
      <c r="C1082" s="36" t="s">
        <v>40</v>
      </c>
      <c r="D1082" s="36" t="s">
        <v>10</v>
      </c>
      <c r="E1082" s="36" t="s">
        <v>2949</v>
      </c>
      <c r="F1082" s="36" t="s">
        <v>1221</v>
      </c>
      <c r="G1082" s="36" t="s">
        <v>1141</v>
      </c>
      <c r="H1082" s="36" t="s">
        <v>2950</v>
      </c>
      <c r="I1082" s="37" t="s">
        <v>32</v>
      </c>
      <c r="J1082" t="str">
        <f>VLOOKUP(F1082,'[1]BASE DE DADOS'!$A:$C,3,0)</f>
        <v>Cleber Silvestre Almeida e Silva</v>
      </c>
    </row>
    <row r="1083" spans="1:10" x14ac:dyDescent="0.25">
      <c r="A1083" s="36" t="s">
        <v>2951</v>
      </c>
      <c r="B1083" s="38">
        <v>999882012833277</v>
      </c>
      <c r="C1083" s="36" t="s">
        <v>43</v>
      </c>
      <c r="D1083" s="36" t="s">
        <v>10</v>
      </c>
      <c r="E1083" s="36" t="s">
        <v>2952</v>
      </c>
      <c r="F1083" s="36" t="s">
        <v>1274</v>
      </c>
      <c r="G1083" s="36" t="s">
        <v>1141</v>
      </c>
      <c r="H1083" s="36">
        <v>0</v>
      </c>
      <c r="I1083" s="37" t="s">
        <v>33</v>
      </c>
      <c r="J1083" t="str">
        <f>VLOOKUP(F1083,'[1]BASE DE DADOS'!$A:$C,3,0)</f>
        <v>Hiago Vinicius Alves Dos Santos Silva</v>
      </c>
    </row>
    <row r="1084" spans="1:10" x14ac:dyDescent="0.25">
      <c r="A1084" s="36" t="s">
        <v>2953</v>
      </c>
      <c r="B1084" s="38">
        <v>999882029528895</v>
      </c>
      <c r="C1084" s="36" t="s">
        <v>41</v>
      </c>
      <c r="D1084" s="36" t="s">
        <v>10</v>
      </c>
      <c r="E1084" s="36" t="s">
        <v>2954</v>
      </c>
      <c r="F1084" s="36" t="s">
        <v>1192</v>
      </c>
      <c r="G1084" s="36" t="s">
        <v>1141</v>
      </c>
      <c r="H1084" s="36">
        <v>0</v>
      </c>
      <c r="I1084" s="37" t="s">
        <v>33</v>
      </c>
      <c r="J1084" t="str">
        <f>VLOOKUP(F1084,'[1]BASE DE DADOS'!$A:$C,3,0)</f>
        <v>Eduardo Carvalho Vieira dos Santos</v>
      </c>
    </row>
    <row r="1085" spans="1:10" x14ac:dyDescent="0.25">
      <c r="A1085" s="36" t="s">
        <v>2955</v>
      </c>
      <c r="B1085" s="38">
        <v>999881966726364</v>
      </c>
      <c r="C1085" s="36" t="s">
        <v>41</v>
      </c>
      <c r="D1085" s="36" t="s">
        <v>10</v>
      </c>
      <c r="E1085" s="36" t="s">
        <v>2956</v>
      </c>
      <c r="F1085" s="36" t="s">
        <v>1151</v>
      </c>
      <c r="G1085" s="36" t="s">
        <v>1141</v>
      </c>
      <c r="H1085" s="36">
        <v>0</v>
      </c>
      <c r="I1085" s="37" t="s">
        <v>33</v>
      </c>
      <c r="J1085" t="str">
        <f>VLOOKUP(F1085,'[1]BASE DE DADOS'!$A:$C,3,0)</f>
        <v>Hiago Vinicius Alves Dos Santos Silva</v>
      </c>
    </row>
    <row r="1086" spans="1:10" x14ac:dyDescent="0.25">
      <c r="A1086" s="36" t="s">
        <v>2957</v>
      </c>
      <c r="B1086" s="38">
        <v>999881984108812</v>
      </c>
      <c r="C1086" s="36" t="s">
        <v>43</v>
      </c>
      <c r="D1086" s="36" t="s">
        <v>10</v>
      </c>
      <c r="E1086" s="36" t="s">
        <v>2958</v>
      </c>
      <c r="F1086" s="36" t="s">
        <v>1274</v>
      </c>
      <c r="G1086" s="36" t="s">
        <v>1141</v>
      </c>
      <c r="H1086" s="36">
        <v>0</v>
      </c>
      <c r="I1086" s="37" t="s">
        <v>33</v>
      </c>
      <c r="J1086" t="str">
        <f>VLOOKUP(F1086,'[1]BASE DE DADOS'!$A:$C,3,0)</f>
        <v>Hiago Vinicius Alves Dos Santos Silva</v>
      </c>
    </row>
    <row r="1087" spans="1:10" x14ac:dyDescent="0.25">
      <c r="A1087" s="36" t="s">
        <v>2959</v>
      </c>
      <c r="B1087" s="38">
        <v>999882066986435</v>
      </c>
      <c r="C1087" s="36" t="s">
        <v>40</v>
      </c>
      <c r="D1087" s="36" t="s">
        <v>10</v>
      </c>
      <c r="E1087" s="36" t="s">
        <v>2960</v>
      </c>
      <c r="F1087" s="36" t="s">
        <v>2606</v>
      </c>
      <c r="G1087" s="36" t="s">
        <v>1141</v>
      </c>
      <c r="H1087" s="36" t="s">
        <v>2961</v>
      </c>
      <c r="I1087" s="37" t="s">
        <v>32</v>
      </c>
      <c r="J1087" t="str">
        <f>VLOOKUP(F1087,'[1]BASE DE DADOS'!$A:$C,3,0)</f>
        <v xml:space="preserve">Alex Junior Rodrigues dos santos </v>
      </c>
    </row>
    <row r="1088" spans="1:10" x14ac:dyDescent="0.25">
      <c r="A1088" s="36" t="s">
        <v>2962</v>
      </c>
      <c r="B1088" s="38">
        <v>999881990651735</v>
      </c>
      <c r="C1088" s="36" t="s">
        <v>41</v>
      </c>
      <c r="D1088" s="36" t="s">
        <v>10</v>
      </c>
      <c r="E1088" s="36" t="s">
        <v>2963</v>
      </c>
      <c r="F1088" s="36" t="s">
        <v>2964</v>
      </c>
      <c r="G1088" s="36" t="s">
        <v>1141</v>
      </c>
      <c r="H1088" s="36">
        <v>0</v>
      </c>
      <c r="I1088" s="37" t="s">
        <v>33</v>
      </c>
      <c r="J1088" t="str">
        <f>VLOOKUP(F1088,'[1]BASE DE DADOS'!$A:$C,3,0)</f>
        <v>Cleber Silvestre Almeida e Silva</v>
      </c>
    </row>
    <row r="1089" spans="1:10" x14ac:dyDescent="0.25">
      <c r="A1089" s="36" t="s">
        <v>2965</v>
      </c>
      <c r="B1089" s="38">
        <v>999882013850255</v>
      </c>
      <c r="C1089" s="36" t="s">
        <v>43</v>
      </c>
      <c r="D1089" s="36" t="s">
        <v>10</v>
      </c>
      <c r="E1089" s="36" t="s">
        <v>2966</v>
      </c>
      <c r="F1089" s="36" t="s">
        <v>1675</v>
      </c>
      <c r="G1089" s="36" t="s">
        <v>1141</v>
      </c>
      <c r="H1089" s="36">
        <v>0</v>
      </c>
      <c r="I1089" s="37" t="s">
        <v>33</v>
      </c>
      <c r="J1089" t="str">
        <f>VLOOKUP(F1089,'[1]BASE DE DADOS'!$A:$C,3,0)</f>
        <v>Cleber Silvestre Almeida e Silva</v>
      </c>
    </row>
    <row r="1090" spans="1:10" x14ac:dyDescent="0.25">
      <c r="A1090" s="36" t="s">
        <v>2967</v>
      </c>
      <c r="B1090" s="38">
        <v>999881941020752</v>
      </c>
      <c r="C1090" s="36" t="s">
        <v>40</v>
      </c>
      <c r="D1090" s="36" t="s">
        <v>10</v>
      </c>
      <c r="E1090" s="36" t="s">
        <v>2968</v>
      </c>
      <c r="F1090" s="36" t="s">
        <v>2193</v>
      </c>
      <c r="G1090" s="36" t="s">
        <v>1141</v>
      </c>
      <c r="H1090" s="36">
        <v>0</v>
      </c>
      <c r="I1090" s="37" t="s">
        <v>33</v>
      </c>
      <c r="J1090" t="str">
        <f>VLOOKUP(F1090,'[1]BASE DE DADOS'!$A:$C,3,0)</f>
        <v>Cleber Silvestre Almeida e Silva</v>
      </c>
    </row>
    <row r="1091" spans="1:10" x14ac:dyDescent="0.25">
      <c r="A1091" s="36" t="s">
        <v>2969</v>
      </c>
      <c r="B1091" s="38">
        <v>999882026588309</v>
      </c>
      <c r="C1091" s="36" t="s">
        <v>43</v>
      </c>
      <c r="D1091" s="36" t="s">
        <v>10</v>
      </c>
      <c r="E1091" s="36" t="s">
        <v>2970</v>
      </c>
      <c r="F1091" s="36" t="s">
        <v>2934</v>
      </c>
      <c r="G1091" s="36" t="s">
        <v>1141</v>
      </c>
      <c r="H1091" s="36">
        <v>0</v>
      </c>
      <c r="I1091" s="37" t="s">
        <v>33</v>
      </c>
      <c r="J1091" t="str">
        <f>VLOOKUP(F1091,'[1]BASE DE DADOS'!$A:$C,3,0)</f>
        <v xml:space="preserve">Alex Junior Rodrigues dos santos </v>
      </c>
    </row>
    <row r="1092" spans="1:10" x14ac:dyDescent="0.25">
      <c r="A1092" s="36" t="s">
        <v>2971</v>
      </c>
      <c r="B1092" s="38">
        <v>999882018814031</v>
      </c>
      <c r="C1092" s="36" t="s">
        <v>41</v>
      </c>
      <c r="D1092" s="36" t="s">
        <v>10</v>
      </c>
      <c r="E1092" s="36" t="s">
        <v>2972</v>
      </c>
      <c r="F1092" s="36" t="s">
        <v>1266</v>
      </c>
      <c r="G1092" s="36" t="s">
        <v>1141</v>
      </c>
      <c r="H1092" s="36">
        <v>0</v>
      </c>
      <c r="I1092" s="37" t="s">
        <v>33</v>
      </c>
      <c r="J1092" t="str">
        <f>VLOOKUP(F1092,'[1]BASE DE DADOS'!$A:$C,3,0)</f>
        <v>Eduardo Carvalho Vieira dos Santos</v>
      </c>
    </row>
    <row r="1093" spans="1:10" x14ac:dyDescent="0.25">
      <c r="A1093" s="36" t="s">
        <v>2973</v>
      </c>
      <c r="B1093" s="38">
        <v>999881975748564</v>
      </c>
      <c r="C1093" s="36" t="s">
        <v>43</v>
      </c>
      <c r="D1093" s="36" t="s">
        <v>10</v>
      </c>
      <c r="E1093" s="36" t="s">
        <v>2974</v>
      </c>
      <c r="F1093" s="36" t="s">
        <v>1236</v>
      </c>
      <c r="G1093" s="36" t="s">
        <v>1141</v>
      </c>
      <c r="H1093" s="36">
        <v>0</v>
      </c>
      <c r="I1093" s="37" t="s">
        <v>33</v>
      </c>
      <c r="J1093" t="str">
        <f>VLOOKUP(F1093,'[1]BASE DE DADOS'!$A:$C,3,0)</f>
        <v>Eduardo Carvalho Vieira dos Santos</v>
      </c>
    </row>
    <row r="1094" spans="1:10" x14ac:dyDescent="0.25">
      <c r="A1094" s="36" t="s">
        <v>2975</v>
      </c>
      <c r="B1094" s="38">
        <v>999882030037957</v>
      </c>
      <c r="C1094" s="36" t="s">
        <v>43</v>
      </c>
      <c r="D1094" s="36" t="s">
        <v>10</v>
      </c>
      <c r="E1094" s="36" t="s">
        <v>2976</v>
      </c>
      <c r="F1094" s="36" t="s">
        <v>2147</v>
      </c>
      <c r="G1094" s="36" t="s">
        <v>1141</v>
      </c>
      <c r="H1094" s="36">
        <v>0</v>
      </c>
      <c r="I1094" s="37" t="s">
        <v>33</v>
      </c>
      <c r="J1094" t="str">
        <f>VLOOKUP(F1094,'[1]BASE DE DADOS'!$A:$C,3,0)</f>
        <v>Cleber Silvestre Almeida e Silva</v>
      </c>
    </row>
    <row r="1095" spans="1:10" x14ac:dyDescent="0.25">
      <c r="A1095" s="36" t="s">
        <v>2977</v>
      </c>
      <c r="B1095" s="38">
        <v>999881904262529</v>
      </c>
      <c r="C1095" s="36" t="s">
        <v>40</v>
      </c>
      <c r="D1095" s="36" t="s">
        <v>10</v>
      </c>
      <c r="E1095" s="36" t="s">
        <v>2978</v>
      </c>
      <c r="F1095" s="36" t="s">
        <v>1675</v>
      </c>
      <c r="G1095" s="36" t="s">
        <v>1141</v>
      </c>
      <c r="H1095" s="36">
        <v>0</v>
      </c>
      <c r="I1095" s="37" t="s">
        <v>33</v>
      </c>
      <c r="J1095" t="str">
        <f>VLOOKUP(F1095,'[1]BASE DE DADOS'!$A:$C,3,0)</f>
        <v>Cleber Silvestre Almeida e Silva</v>
      </c>
    </row>
    <row r="1096" spans="1:10" x14ac:dyDescent="0.25">
      <c r="A1096" s="36" t="s">
        <v>2979</v>
      </c>
      <c r="B1096" s="38">
        <v>999882017254772</v>
      </c>
      <c r="C1096" s="36" t="s">
        <v>42</v>
      </c>
      <c r="D1096" s="36" t="s">
        <v>10</v>
      </c>
      <c r="E1096" s="36" t="s">
        <v>2980</v>
      </c>
      <c r="F1096" s="36" t="s">
        <v>1594</v>
      </c>
      <c r="G1096" s="36" t="s">
        <v>1141</v>
      </c>
      <c r="H1096" s="36">
        <v>0</v>
      </c>
      <c r="I1096" s="37" t="s">
        <v>33</v>
      </c>
      <c r="J1096" t="str">
        <f>VLOOKUP(F1096,'[1]BASE DE DADOS'!$A:$C,3,0)</f>
        <v xml:space="preserve">Alex Junior Rodrigues dos santos </v>
      </c>
    </row>
    <row r="1097" spans="1:10" x14ac:dyDescent="0.25">
      <c r="A1097" s="36" t="s">
        <v>2981</v>
      </c>
      <c r="B1097" s="38">
        <v>999882036207890</v>
      </c>
      <c r="C1097" s="36" t="s">
        <v>43</v>
      </c>
      <c r="D1097" s="36" t="s">
        <v>10</v>
      </c>
      <c r="E1097" s="36" t="s">
        <v>2982</v>
      </c>
      <c r="F1097" s="36" t="s">
        <v>1270</v>
      </c>
      <c r="G1097" s="36" t="s">
        <v>1141</v>
      </c>
      <c r="H1097" s="36">
        <v>0</v>
      </c>
      <c r="I1097" s="37" t="s">
        <v>33</v>
      </c>
      <c r="J1097" t="str">
        <f>VLOOKUP(F1097,'[1]BASE DE DADOS'!$A:$C,3,0)</f>
        <v xml:space="preserve">Alex Junior Rodrigues dos santos </v>
      </c>
    </row>
    <row r="1098" spans="1:10" x14ac:dyDescent="0.25">
      <c r="A1098" s="36" t="s">
        <v>2983</v>
      </c>
      <c r="B1098" s="38">
        <v>999881964776665</v>
      </c>
      <c r="C1098" s="36" t="s">
        <v>43</v>
      </c>
      <c r="D1098" s="36" t="s">
        <v>10</v>
      </c>
      <c r="E1098" s="36" t="s">
        <v>2984</v>
      </c>
      <c r="F1098" s="36" t="s">
        <v>1154</v>
      </c>
      <c r="G1098" s="36" t="s">
        <v>1141</v>
      </c>
      <c r="H1098" s="36">
        <v>0</v>
      </c>
      <c r="I1098" s="37" t="s">
        <v>33</v>
      </c>
      <c r="J1098" t="str">
        <f>VLOOKUP(F1098,'[1]BASE DE DADOS'!$A:$C,3,0)</f>
        <v>Eduardo Carvalho Vieira dos Santos</v>
      </c>
    </row>
    <row r="1099" spans="1:10" x14ac:dyDescent="0.25">
      <c r="A1099" s="36" t="s">
        <v>2985</v>
      </c>
      <c r="B1099" s="38">
        <v>999882017794709</v>
      </c>
      <c r="C1099" s="36" t="s">
        <v>41</v>
      </c>
      <c r="D1099" s="36" t="s">
        <v>10</v>
      </c>
      <c r="E1099" s="36" t="s">
        <v>2986</v>
      </c>
      <c r="F1099" s="36" t="s">
        <v>1309</v>
      </c>
      <c r="G1099" s="36" t="s">
        <v>1141</v>
      </c>
      <c r="H1099" s="36">
        <v>0</v>
      </c>
      <c r="I1099" s="37" t="s">
        <v>33</v>
      </c>
      <c r="J1099" t="str">
        <f>VLOOKUP(F1099,'[1]BASE DE DADOS'!$A:$C,3,0)</f>
        <v xml:space="preserve">Alex Junior Rodrigues dos santos </v>
      </c>
    </row>
    <row r="1100" spans="1:10" x14ac:dyDescent="0.25">
      <c r="A1100" s="36" t="s">
        <v>2987</v>
      </c>
      <c r="B1100" s="38">
        <v>999881997883251</v>
      </c>
      <c r="C1100" s="36" t="s">
        <v>41</v>
      </c>
      <c r="D1100" s="36" t="s">
        <v>10</v>
      </c>
      <c r="E1100" s="36" t="s">
        <v>2988</v>
      </c>
      <c r="F1100" s="36" t="s">
        <v>1297</v>
      </c>
      <c r="G1100" s="36" t="s">
        <v>1141</v>
      </c>
      <c r="H1100" s="36">
        <v>0</v>
      </c>
      <c r="I1100" s="37" t="s">
        <v>33</v>
      </c>
      <c r="J1100" t="str">
        <f>VLOOKUP(F1100,'[1]BASE DE DADOS'!$A:$C,3,0)</f>
        <v>Cleber Silvestre Almeida e Silva</v>
      </c>
    </row>
    <row r="1101" spans="1:10" x14ac:dyDescent="0.25">
      <c r="A1101" s="36" t="s">
        <v>2989</v>
      </c>
      <c r="B1101" s="38">
        <v>999882050278918</v>
      </c>
      <c r="C1101" s="36" t="s">
        <v>40</v>
      </c>
      <c r="D1101" s="36" t="s">
        <v>10</v>
      </c>
      <c r="E1101" s="36" t="s">
        <v>2990</v>
      </c>
      <c r="F1101" s="36" t="s">
        <v>2991</v>
      </c>
      <c r="G1101" s="36" t="s">
        <v>1141</v>
      </c>
      <c r="H1101" s="36" t="s">
        <v>2992</v>
      </c>
      <c r="I1101" s="37" t="s">
        <v>32</v>
      </c>
      <c r="J1101" t="str">
        <f>VLOOKUP(F1101,'[1]BASE DE DADOS'!$A:$C,3,0)</f>
        <v>Cleber Silvestre Almeida e Silva</v>
      </c>
    </row>
    <row r="1102" spans="1:10" x14ac:dyDescent="0.25">
      <c r="A1102" s="36" t="s">
        <v>2993</v>
      </c>
      <c r="B1102" s="38">
        <v>999881997359218</v>
      </c>
      <c r="C1102" s="36" t="s">
        <v>41</v>
      </c>
      <c r="D1102" s="36" t="s">
        <v>10</v>
      </c>
      <c r="E1102" s="36" t="s">
        <v>2994</v>
      </c>
      <c r="F1102" s="36" t="s">
        <v>1323</v>
      </c>
      <c r="G1102" s="36" t="s">
        <v>1141</v>
      </c>
      <c r="H1102" s="36">
        <v>0</v>
      </c>
      <c r="I1102" s="37" t="s">
        <v>33</v>
      </c>
      <c r="J1102" t="str">
        <f>VLOOKUP(F1102,'[1]BASE DE DADOS'!$A:$C,3,0)</f>
        <v>Cleber Silvestre Almeida e Silva</v>
      </c>
    </row>
    <row r="1103" spans="1:10" x14ac:dyDescent="0.25">
      <c r="A1103" s="36" t="s">
        <v>2995</v>
      </c>
      <c r="B1103" s="38">
        <v>999882048096844</v>
      </c>
      <c r="C1103" s="36" t="s">
        <v>40</v>
      </c>
      <c r="D1103" s="36" t="s">
        <v>10</v>
      </c>
      <c r="E1103" s="36" t="s">
        <v>2996</v>
      </c>
      <c r="F1103" s="36" t="s">
        <v>1225</v>
      </c>
      <c r="G1103" s="36" t="s">
        <v>1141</v>
      </c>
      <c r="H1103" s="36" t="s">
        <v>2997</v>
      </c>
      <c r="I1103" s="37" t="s">
        <v>32</v>
      </c>
      <c r="J1103" t="str">
        <f>VLOOKUP(F1103,'[1]BASE DE DADOS'!$A:$C,3,0)</f>
        <v>Eduardo Carvalho Vieira dos Santos</v>
      </c>
    </row>
    <row r="1104" spans="1:10" x14ac:dyDescent="0.25">
      <c r="A1104" s="36" t="s">
        <v>2998</v>
      </c>
      <c r="B1104" s="38">
        <v>999882058108489</v>
      </c>
      <c r="C1104" s="36" t="s">
        <v>40</v>
      </c>
      <c r="D1104" s="36" t="s">
        <v>10</v>
      </c>
      <c r="E1104" s="36" t="s">
        <v>2999</v>
      </c>
      <c r="F1104" s="36" t="s">
        <v>2019</v>
      </c>
      <c r="G1104" s="36" t="s">
        <v>1141</v>
      </c>
      <c r="H1104" s="36">
        <v>0</v>
      </c>
      <c r="I1104" s="37" t="s">
        <v>33</v>
      </c>
      <c r="J1104" t="str">
        <f>VLOOKUP(F1104,'[1]BASE DE DADOS'!$A:$C,3,0)</f>
        <v xml:space="preserve">Alex Junior Rodrigues dos santos </v>
      </c>
    </row>
    <row r="1105" spans="1:10" x14ac:dyDescent="0.25">
      <c r="A1105" s="36" t="s">
        <v>3000</v>
      </c>
      <c r="B1105" s="38">
        <v>999882013651264</v>
      </c>
      <c r="C1105" s="36" t="s">
        <v>40</v>
      </c>
      <c r="D1105" s="36" t="s">
        <v>10</v>
      </c>
      <c r="E1105" s="36" t="s">
        <v>3001</v>
      </c>
      <c r="F1105" s="36" t="s">
        <v>1790</v>
      </c>
      <c r="G1105" s="36" t="s">
        <v>1141</v>
      </c>
      <c r="H1105" s="36">
        <v>0</v>
      </c>
      <c r="I1105" s="37" t="s">
        <v>33</v>
      </c>
      <c r="J1105" t="str">
        <f>VLOOKUP(F1105,'[1]BASE DE DADOS'!$A:$C,3,0)</f>
        <v>Cleber Silvestre Almeida e Silva</v>
      </c>
    </row>
    <row r="1106" spans="1:10" x14ac:dyDescent="0.25">
      <c r="A1106" s="36" t="s">
        <v>3002</v>
      </c>
      <c r="B1106" s="38">
        <v>999882014802015</v>
      </c>
      <c r="C1106" s="36" t="s">
        <v>43</v>
      </c>
      <c r="D1106" s="36" t="s">
        <v>10</v>
      </c>
      <c r="E1106" s="36" t="s">
        <v>3003</v>
      </c>
      <c r="F1106" s="36" t="s">
        <v>1221</v>
      </c>
      <c r="G1106" s="36" t="s">
        <v>1141</v>
      </c>
      <c r="H1106" s="36">
        <v>0</v>
      </c>
      <c r="I1106" s="37" t="s">
        <v>33</v>
      </c>
      <c r="J1106" t="str">
        <f>VLOOKUP(F1106,'[1]BASE DE DADOS'!$A:$C,3,0)</f>
        <v>Cleber Silvestre Almeida e Silva</v>
      </c>
    </row>
    <row r="1107" spans="1:10" x14ac:dyDescent="0.25">
      <c r="A1107" s="36" t="s">
        <v>3004</v>
      </c>
      <c r="B1107" s="38">
        <v>999882049162525</v>
      </c>
      <c r="C1107" s="36" t="s">
        <v>40</v>
      </c>
      <c r="D1107" s="36" t="s">
        <v>10</v>
      </c>
      <c r="E1107" s="36" t="s">
        <v>3005</v>
      </c>
      <c r="F1107" s="36" t="s">
        <v>1906</v>
      </c>
      <c r="G1107" s="36" t="s">
        <v>1141</v>
      </c>
      <c r="H1107" s="36">
        <v>0</v>
      </c>
      <c r="I1107" s="37" t="s">
        <v>33</v>
      </c>
      <c r="J1107" t="str">
        <f>VLOOKUP(F1107,'[1]BASE DE DADOS'!$A:$C,3,0)</f>
        <v>Cleber Silvestre Almeida e Silva</v>
      </c>
    </row>
    <row r="1108" spans="1:10" x14ac:dyDescent="0.25">
      <c r="A1108" s="36" t="s">
        <v>3006</v>
      </c>
      <c r="B1108" s="38">
        <v>999881968460486</v>
      </c>
      <c r="C1108" s="36" t="s">
        <v>43</v>
      </c>
      <c r="D1108" s="36" t="s">
        <v>10</v>
      </c>
      <c r="E1108" s="36" t="s">
        <v>3007</v>
      </c>
      <c r="F1108" s="36" t="s">
        <v>3008</v>
      </c>
      <c r="G1108" s="36" t="s">
        <v>1141</v>
      </c>
      <c r="H1108" s="36">
        <v>0</v>
      </c>
      <c r="I1108" s="37" t="s">
        <v>33</v>
      </c>
      <c r="J1108" t="str">
        <f>VLOOKUP(F1108,'[1]BASE DE DADOS'!$A:$C,3,0)</f>
        <v>Cleber Silvestre Almeida e Silva</v>
      </c>
    </row>
    <row r="1109" spans="1:10" x14ac:dyDescent="0.25">
      <c r="A1109" s="36" t="s">
        <v>3009</v>
      </c>
      <c r="B1109" s="38">
        <v>999882011465774</v>
      </c>
      <c r="C1109" s="36" t="s">
        <v>40</v>
      </c>
      <c r="D1109" s="36" t="s">
        <v>10</v>
      </c>
      <c r="E1109" s="36" t="s">
        <v>3010</v>
      </c>
      <c r="F1109" s="36" t="s">
        <v>2934</v>
      </c>
      <c r="G1109" s="36" t="s">
        <v>1141</v>
      </c>
      <c r="H1109" s="36">
        <v>0</v>
      </c>
      <c r="I1109" s="37" t="s">
        <v>33</v>
      </c>
      <c r="J1109" t="str">
        <f>VLOOKUP(F1109,'[1]BASE DE DADOS'!$A:$C,3,0)</f>
        <v xml:space="preserve">Alex Junior Rodrigues dos santos </v>
      </c>
    </row>
    <row r="1110" spans="1:10" x14ac:dyDescent="0.25">
      <c r="A1110" s="36" t="s">
        <v>3011</v>
      </c>
      <c r="B1110" s="38">
        <v>999882023420084</v>
      </c>
      <c r="C1110" s="36" t="s">
        <v>43</v>
      </c>
      <c r="D1110" s="36" t="s">
        <v>10</v>
      </c>
      <c r="E1110" s="36" t="s">
        <v>3012</v>
      </c>
      <c r="F1110" s="36" t="s">
        <v>1274</v>
      </c>
      <c r="G1110" s="36" t="s">
        <v>1141</v>
      </c>
      <c r="H1110" s="36">
        <v>0</v>
      </c>
      <c r="I1110" s="37" t="s">
        <v>33</v>
      </c>
      <c r="J1110" t="str">
        <f>VLOOKUP(F1110,'[1]BASE DE DADOS'!$A:$C,3,0)</f>
        <v>Hiago Vinicius Alves Dos Santos Silva</v>
      </c>
    </row>
    <row r="1111" spans="1:10" x14ac:dyDescent="0.25">
      <c r="A1111" s="36" t="s">
        <v>3013</v>
      </c>
      <c r="B1111" s="38">
        <v>999882028198240</v>
      </c>
      <c r="C1111" s="36" t="s">
        <v>43</v>
      </c>
      <c r="D1111" s="36" t="s">
        <v>10</v>
      </c>
      <c r="E1111" s="36" t="s">
        <v>3014</v>
      </c>
      <c r="F1111" s="36" t="s">
        <v>1352</v>
      </c>
      <c r="G1111" s="36" t="s">
        <v>1141</v>
      </c>
      <c r="H1111" s="36">
        <v>0</v>
      </c>
      <c r="I1111" s="37" t="s">
        <v>33</v>
      </c>
      <c r="J1111" t="str">
        <f>VLOOKUP(F1111,'[1]BASE DE DADOS'!$A:$C,3,0)</f>
        <v>Hiago Vinicius Alves Dos Santos Silva</v>
      </c>
    </row>
    <row r="1112" spans="1:10" x14ac:dyDescent="0.25">
      <c r="A1112" s="36" t="s">
        <v>3015</v>
      </c>
      <c r="B1112" s="38">
        <v>999881993673731</v>
      </c>
      <c r="C1112" s="36" t="s">
        <v>40</v>
      </c>
      <c r="D1112" s="36" t="s">
        <v>10</v>
      </c>
      <c r="E1112" s="36" t="s">
        <v>3016</v>
      </c>
      <c r="F1112" s="36" t="s">
        <v>1200</v>
      </c>
      <c r="G1112" s="36" t="s">
        <v>1141</v>
      </c>
      <c r="H1112" s="36">
        <v>0</v>
      </c>
      <c r="I1112" s="37" t="s">
        <v>33</v>
      </c>
      <c r="J1112" t="str">
        <f>VLOOKUP(F1112,'[1]BASE DE DADOS'!$A:$C,3,0)</f>
        <v>Cleber Silvestre Almeida e Silva</v>
      </c>
    </row>
    <row r="1113" spans="1:10" x14ac:dyDescent="0.25">
      <c r="A1113" s="36" t="s">
        <v>3017</v>
      </c>
      <c r="B1113" s="38">
        <v>999882023644134</v>
      </c>
      <c r="C1113" s="36" t="s">
        <v>43</v>
      </c>
      <c r="D1113" s="36" t="s">
        <v>10</v>
      </c>
      <c r="E1113" s="36" t="s">
        <v>3018</v>
      </c>
      <c r="F1113" s="36" t="s">
        <v>1932</v>
      </c>
      <c r="G1113" s="36" t="s">
        <v>1141</v>
      </c>
      <c r="H1113" s="36">
        <v>0</v>
      </c>
      <c r="I1113" s="37" t="s">
        <v>33</v>
      </c>
      <c r="J1113" t="str">
        <f>VLOOKUP(F1113,'[1]BASE DE DADOS'!$A:$C,3,0)</f>
        <v>Cleber Silvestre Almeida e Silva</v>
      </c>
    </row>
    <row r="1114" spans="1:10" x14ac:dyDescent="0.25">
      <c r="A1114" s="36" t="s">
        <v>3019</v>
      </c>
      <c r="B1114" s="38">
        <v>999882017151669</v>
      </c>
      <c r="C1114" s="36" t="s">
        <v>40</v>
      </c>
      <c r="D1114" s="36" t="s">
        <v>10</v>
      </c>
      <c r="E1114" s="36" t="s">
        <v>3020</v>
      </c>
      <c r="F1114" s="36" t="s">
        <v>1254</v>
      </c>
      <c r="G1114" s="36" t="s">
        <v>1141</v>
      </c>
      <c r="H1114" s="36">
        <v>0</v>
      </c>
      <c r="I1114" s="37" t="s">
        <v>33</v>
      </c>
      <c r="J1114" t="str">
        <f>VLOOKUP(F1114,'[1]BASE DE DADOS'!$A:$C,3,0)</f>
        <v>Eduardo Carvalho Vieira dos Santos</v>
      </c>
    </row>
    <row r="1115" spans="1:10" x14ac:dyDescent="0.25">
      <c r="A1115" s="36" t="s">
        <v>3021</v>
      </c>
      <c r="B1115" s="38">
        <v>999882022682135</v>
      </c>
      <c r="C1115" s="36" t="s">
        <v>42</v>
      </c>
      <c r="D1115" s="36" t="s">
        <v>10</v>
      </c>
      <c r="E1115" s="36" t="s">
        <v>3022</v>
      </c>
      <c r="F1115" s="36" t="s">
        <v>2064</v>
      </c>
      <c r="G1115" s="36" t="s">
        <v>1141</v>
      </c>
      <c r="H1115" s="36">
        <v>0</v>
      </c>
      <c r="I1115" s="37" t="s">
        <v>33</v>
      </c>
      <c r="J1115" t="str">
        <f>VLOOKUP(F1115,'[1]BASE DE DADOS'!$A:$C,3,0)</f>
        <v>Eduardo Carvalho Vieira dos Santos</v>
      </c>
    </row>
    <row r="1116" spans="1:10" x14ac:dyDescent="0.25">
      <c r="A1116" s="36" t="s">
        <v>3023</v>
      </c>
      <c r="B1116" s="38">
        <v>999882042940314</v>
      </c>
      <c r="C1116" s="36" t="s">
        <v>43</v>
      </c>
      <c r="D1116" s="36" t="s">
        <v>10</v>
      </c>
      <c r="E1116" s="36" t="s">
        <v>3024</v>
      </c>
      <c r="F1116" s="36" t="s">
        <v>1616</v>
      </c>
      <c r="G1116" s="36" t="s">
        <v>1141</v>
      </c>
      <c r="H1116" s="36">
        <v>0</v>
      </c>
      <c r="I1116" s="37" t="s">
        <v>33</v>
      </c>
      <c r="J1116" t="str">
        <f>VLOOKUP(F1116,'[1]BASE DE DADOS'!$A:$C,3,0)</f>
        <v>Cleber Silvestre Almeida e Silva</v>
      </c>
    </row>
    <row r="1117" spans="1:10" x14ac:dyDescent="0.25">
      <c r="A1117" s="36" t="s">
        <v>3025</v>
      </c>
      <c r="B1117" s="38">
        <v>999882004270093</v>
      </c>
      <c r="C1117" s="36" t="s">
        <v>43</v>
      </c>
      <c r="D1117" s="36" t="s">
        <v>10</v>
      </c>
      <c r="E1117" s="36" t="s">
        <v>3026</v>
      </c>
      <c r="F1117" s="36" t="s">
        <v>1144</v>
      </c>
      <c r="G1117" s="36" t="s">
        <v>1141</v>
      </c>
      <c r="H1117" s="36">
        <v>0</v>
      </c>
      <c r="I1117" s="37" t="s">
        <v>33</v>
      </c>
      <c r="J1117" t="str">
        <f>VLOOKUP(F1117,'[1]BASE DE DADOS'!$A:$C,3,0)</f>
        <v xml:space="preserve">Alex Junior Rodrigues dos santos </v>
      </c>
    </row>
    <row r="1118" spans="1:10" x14ac:dyDescent="0.25">
      <c r="A1118" s="36" t="s">
        <v>3027</v>
      </c>
      <c r="B1118" s="38">
        <v>999882005248670</v>
      </c>
      <c r="C1118" s="36" t="s">
        <v>43</v>
      </c>
      <c r="D1118" s="36" t="s">
        <v>10</v>
      </c>
      <c r="E1118" s="36" t="s">
        <v>3028</v>
      </c>
      <c r="F1118" s="36" t="s">
        <v>1424</v>
      </c>
      <c r="G1118" s="36" t="s">
        <v>1141</v>
      </c>
      <c r="H1118" s="36">
        <v>0</v>
      </c>
      <c r="I1118" s="37" t="s">
        <v>33</v>
      </c>
      <c r="J1118" t="str">
        <f>VLOOKUP(F1118,'[1]BASE DE DADOS'!$A:$C,3,0)</f>
        <v>Eduardo Carvalho Vieira dos Santos</v>
      </c>
    </row>
    <row r="1119" spans="1:10" x14ac:dyDescent="0.25">
      <c r="A1119" s="36" t="s">
        <v>3029</v>
      </c>
      <c r="B1119" s="38">
        <v>999882036723627</v>
      </c>
      <c r="C1119" s="36" t="s">
        <v>40</v>
      </c>
      <c r="D1119" s="36" t="s">
        <v>10</v>
      </c>
      <c r="E1119" s="36" t="s">
        <v>3030</v>
      </c>
      <c r="F1119" s="36" t="s">
        <v>1616</v>
      </c>
      <c r="G1119" s="36" t="s">
        <v>1141</v>
      </c>
      <c r="H1119" s="36">
        <v>0</v>
      </c>
      <c r="I1119" s="37" t="s">
        <v>33</v>
      </c>
      <c r="J1119" t="str">
        <f>VLOOKUP(F1119,'[1]BASE DE DADOS'!$A:$C,3,0)</f>
        <v>Cleber Silvestre Almeida e Silva</v>
      </c>
    </row>
    <row r="1120" spans="1:10" x14ac:dyDescent="0.25">
      <c r="A1120" s="36" t="s">
        <v>3031</v>
      </c>
      <c r="B1120" s="38">
        <v>999881990517956</v>
      </c>
      <c r="C1120" s="36" t="s">
        <v>41</v>
      </c>
      <c r="D1120" s="36" t="s">
        <v>10</v>
      </c>
      <c r="E1120" s="36" t="s">
        <v>3032</v>
      </c>
      <c r="F1120" s="36" t="s">
        <v>1323</v>
      </c>
      <c r="G1120" s="36" t="s">
        <v>1141</v>
      </c>
      <c r="H1120" s="36">
        <v>0</v>
      </c>
      <c r="I1120" s="37" t="s">
        <v>33</v>
      </c>
      <c r="J1120" t="str">
        <f>VLOOKUP(F1120,'[1]BASE DE DADOS'!$A:$C,3,0)</f>
        <v>Cleber Silvestre Almeida e Silva</v>
      </c>
    </row>
    <row r="1121" spans="1:10" x14ac:dyDescent="0.25">
      <c r="A1121" s="36" t="s">
        <v>3033</v>
      </c>
      <c r="B1121" s="38">
        <v>999881886947980</v>
      </c>
      <c r="C1121" s="36" t="s">
        <v>43</v>
      </c>
      <c r="D1121" s="36" t="s">
        <v>10</v>
      </c>
      <c r="E1121" s="36" t="s">
        <v>3034</v>
      </c>
      <c r="F1121" s="36" t="s">
        <v>1529</v>
      </c>
      <c r="G1121" s="36" t="s">
        <v>1141</v>
      </c>
      <c r="H1121" s="36">
        <v>0</v>
      </c>
      <c r="I1121" s="37" t="s">
        <v>33</v>
      </c>
      <c r="J1121" t="str">
        <f>VLOOKUP(F1121,'[1]BASE DE DADOS'!$A:$C,3,0)</f>
        <v>Cleber Silvestre Almeida e Silva</v>
      </c>
    </row>
    <row r="1122" spans="1:10" x14ac:dyDescent="0.25">
      <c r="A1122" s="36" t="s">
        <v>3035</v>
      </c>
      <c r="B1122" s="38">
        <v>999881955989559</v>
      </c>
      <c r="C1122" s="36" t="s">
        <v>40</v>
      </c>
      <c r="D1122" s="36" t="s">
        <v>10</v>
      </c>
      <c r="E1122" s="36" t="s">
        <v>3034</v>
      </c>
      <c r="F1122" s="36" t="s">
        <v>1184</v>
      </c>
      <c r="G1122" s="36" t="s">
        <v>1141</v>
      </c>
      <c r="H1122" s="36" t="s">
        <v>3036</v>
      </c>
      <c r="I1122" s="37" t="s">
        <v>32</v>
      </c>
      <c r="J1122" t="str">
        <f>VLOOKUP(F1122,'[1]BASE DE DADOS'!$A:$C,3,0)</f>
        <v>Cleber Silvestre Almeida e Silva</v>
      </c>
    </row>
    <row r="1123" spans="1:10" x14ac:dyDescent="0.25">
      <c r="A1123" s="36" t="s">
        <v>3037</v>
      </c>
      <c r="B1123" s="38">
        <v>999882029800300</v>
      </c>
      <c r="C1123" s="36" t="s">
        <v>40</v>
      </c>
      <c r="D1123" s="36" t="s">
        <v>10</v>
      </c>
      <c r="E1123" s="36" t="s">
        <v>3038</v>
      </c>
      <c r="F1123" s="36" t="s">
        <v>1297</v>
      </c>
      <c r="G1123" s="36" t="s">
        <v>1141</v>
      </c>
      <c r="H1123" s="36">
        <v>0</v>
      </c>
      <c r="I1123" s="37" t="s">
        <v>33</v>
      </c>
      <c r="J1123" t="str">
        <f>VLOOKUP(F1123,'[1]BASE DE DADOS'!$A:$C,3,0)</f>
        <v>Cleber Silvestre Almeida e Silva</v>
      </c>
    </row>
    <row r="1124" spans="1:10" x14ac:dyDescent="0.25">
      <c r="A1124" s="36" t="s">
        <v>3039</v>
      </c>
      <c r="B1124" s="38">
        <v>999882046657921</v>
      </c>
      <c r="C1124" s="36" t="s">
        <v>43</v>
      </c>
      <c r="D1124" s="36" t="s">
        <v>10</v>
      </c>
      <c r="E1124" s="36" t="s">
        <v>3040</v>
      </c>
      <c r="F1124" s="36" t="s">
        <v>2934</v>
      </c>
      <c r="G1124" s="36" t="s">
        <v>1141</v>
      </c>
      <c r="H1124" s="36">
        <v>0</v>
      </c>
      <c r="I1124" s="37" t="s">
        <v>33</v>
      </c>
      <c r="J1124" t="str">
        <f>VLOOKUP(F1124,'[1]BASE DE DADOS'!$A:$C,3,0)</f>
        <v xml:space="preserve">Alex Junior Rodrigues dos santos </v>
      </c>
    </row>
    <row r="1125" spans="1:10" x14ac:dyDescent="0.25">
      <c r="A1125" s="36" t="s">
        <v>3041</v>
      </c>
      <c r="B1125" s="38">
        <v>999881996576401</v>
      </c>
      <c r="C1125" s="36" t="s">
        <v>41</v>
      </c>
      <c r="D1125" s="36" t="s">
        <v>10</v>
      </c>
      <c r="E1125" s="36" t="s">
        <v>3042</v>
      </c>
      <c r="F1125" s="36" t="s">
        <v>1266</v>
      </c>
      <c r="G1125" s="36" t="s">
        <v>1141</v>
      </c>
      <c r="H1125" s="36">
        <v>0</v>
      </c>
      <c r="I1125" s="37" t="s">
        <v>33</v>
      </c>
      <c r="J1125" t="str">
        <f>VLOOKUP(F1125,'[1]BASE DE DADOS'!$A:$C,3,0)</f>
        <v>Eduardo Carvalho Vieira dos Santos</v>
      </c>
    </row>
    <row r="1126" spans="1:10" x14ac:dyDescent="0.25">
      <c r="A1126" s="36" t="s">
        <v>3043</v>
      </c>
      <c r="B1126" s="38">
        <v>999882029476768</v>
      </c>
      <c r="C1126" s="36" t="s">
        <v>41</v>
      </c>
      <c r="D1126" s="36" t="s">
        <v>10</v>
      </c>
      <c r="E1126" s="36" t="s">
        <v>3044</v>
      </c>
      <c r="F1126" s="36" t="s">
        <v>1297</v>
      </c>
      <c r="G1126" s="36" t="s">
        <v>1141</v>
      </c>
      <c r="H1126" s="36">
        <v>0</v>
      </c>
      <c r="I1126" s="37" t="s">
        <v>33</v>
      </c>
      <c r="J1126" t="str">
        <f>VLOOKUP(F1126,'[1]BASE DE DADOS'!$A:$C,3,0)</f>
        <v>Cleber Silvestre Almeida e Silva</v>
      </c>
    </row>
    <row r="1127" spans="1:10" x14ac:dyDescent="0.25">
      <c r="A1127" s="36" t="s">
        <v>3045</v>
      </c>
      <c r="B1127" s="38">
        <v>999882025492024</v>
      </c>
      <c r="C1127" s="36" t="s">
        <v>41</v>
      </c>
      <c r="D1127" s="36" t="s">
        <v>10</v>
      </c>
      <c r="E1127" s="36" t="s">
        <v>3046</v>
      </c>
      <c r="F1127" s="36" t="s">
        <v>1297</v>
      </c>
      <c r="G1127" s="36" t="s">
        <v>1141</v>
      </c>
      <c r="H1127" s="36">
        <v>0</v>
      </c>
      <c r="I1127" s="37" t="s">
        <v>33</v>
      </c>
      <c r="J1127" t="str">
        <f>VLOOKUP(F1127,'[1]BASE DE DADOS'!$A:$C,3,0)</f>
        <v>Cleber Silvestre Almeida e Silva</v>
      </c>
    </row>
    <row r="1128" spans="1:10" x14ac:dyDescent="0.25">
      <c r="A1128" s="36" t="s">
        <v>3047</v>
      </c>
      <c r="B1128" s="38">
        <v>999882025812283</v>
      </c>
      <c r="C1128" s="36" t="s">
        <v>41</v>
      </c>
      <c r="D1128" s="36" t="s">
        <v>10</v>
      </c>
      <c r="E1128" s="36" t="s">
        <v>3048</v>
      </c>
      <c r="F1128" s="36" t="s">
        <v>1684</v>
      </c>
      <c r="G1128" s="36" t="s">
        <v>1141</v>
      </c>
      <c r="H1128" s="36">
        <v>0</v>
      </c>
      <c r="I1128" s="37" t="s">
        <v>33</v>
      </c>
      <c r="J1128" t="str">
        <f>VLOOKUP(F1128,'[1]BASE DE DADOS'!$A:$C,3,0)</f>
        <v>Eduardo Carvalho Vieira dos Santos</v>
      </c>
    </row>
    <row r="1129" spans="1:10" x14ac:dyDescent="0.25">
      <c r="A1129" s="36" t="s">
        <v>3049</v>
      </c>
      <c r="B1129" s="38">
        <v>999881952833163</v>
      </c>
      <c r="C1129" s="36" t="s">
        <v>43</v>
      </c>
      <c r="D1129" s="36" t="s">
        <v>10</v>
      </c>
      <c r="E1129" s="36" t="s">
        <v>3050</v>
      </c>
      <c r="F1129" s="36" t="s">
        <v>1790</v>
      </c>
      <c r="G1129" s="36" t="s">
        <v>1141</v>
      </c>
      <c r="H1129" s="36">
        <v>0</v>
      </c>
      <c r="I1129" s="37" t="s">
        <v>33</v>
      </c>
      <c r="J1129" t="str">
        <f>VLOOKUP(F1129,'[1]BASE DE DADOS'!$A:$C,3,0)</f>
        <v>Cleber Silvestre Almeida e Silva</v>
      </c>
    </row>
    <row r="1130" spans="1:10" x14ac:dyDescent="0.25">
      <c r="A1130" s="36" t="s">
        <v>3051</v>
      </c>
      <c r="B1130" s="38">
        <v>999882042013969</v>
      </c>
      <c r="C1130" s="36" t="s">
        <v>43</v>
      </c>
      <c r="D1130" s="36" t="s">
        <v>10</v>
      </c>
      <c r="E1130" s="36" t="s">
        <v>3052</v>
      </c>
      <c r="F1130" s="36" t="s">
        <v>1232</v>
      </c>
      <c r="G1130" s="36" t="s">
        <v>1141</v>
      </c>
      <c r="H1130" s="36">
        <v>0</v>
      </c>
      <c r="I1130" s="37" t="s">
        <v>33</v>
      </c>
      <c r="J1130" t="str">
        <f>VLOOKUP(F1130,'[1]BASE DE DADOS'!$A:$C,3,0)</f>
        <v>Eduardo Carvalho Vieira dos Santos</v>
      </c>
    </row>
    <row r="1131" spans="1:10" x14ac:dyDescent="0.25">
      <c r="A1131" s="36" t="s">
        <v>3053</v>
      </c>
      <c r="B1131" s="38">
        <v>999882017467325</v>
      </c>
      <c r="C1131" s="36" t="s">
        <v>41</v>
      </c>
      <c r="D1131" s="36" t="s">
        <v>10</v>
      </c>
      <c r="E1131" s="36" t="s">
        <v>3054</v>
      </c>
      <c r="F1131" s="36" t="s">
        <v>1297</v>
      </c>
      <c r="G1131" s="36" t="s">
        <v>1141</v>
      </c>
      <c r="H1131" s="36">
        <v>0</v>
      </c>
      <c r="I1131" s="37" t="s">
        <v>33</v>
      </c>
      <c r="J1131" t="str">
        <f>VLOOKUP(F1131,'[1]BASE DE DADOS'!$A:$C,3,0)</f>
        <v>Cleber Silvestre Almeida e Silva</v>
      </c>
    </row>
    <row r="1132" spans="1:10" x14ac:dyDescent="0.25">
      <c r="A1132" s="36" t="s">
        <v>3055</v>
      </c>
      <c r="B1132" s="38">
        <v>999882071922613</v>
      </c>
      <c r="C1132" s="36" t="s">
        <v>41</v>
      </c>
      <c r="D1132" s="36" t="s">
        <v>10</v>
      </c>
      <c r="E1132" s="36" t="s">
        <v>3056</v>
      </c>
      <c r="F1132" s="36" t="s">
        <v>1243</v>
      </c>
      <c r="G1132" s="36" t="s">
        <v>1141</v>
      </c>
      <c r="H1132" s="36">
        <v>0</v>
      </c>
      <c r="I1132" s="37" t="s">
        <v>33</v>
      </c>
      <c r="J1132" t="str">
        <f>VLOOKUP(F1132,'[1]BASE DE DADOS'!$A:$C,3,0)</f>
        <v>Eduardo Carvalho Vieira dos Santos</v>
      </c>
    </row>
    <row r="1133" spans="1:10" x14ac:dyDescent="0.25">
      <c r="A1133" s="36" t="s">
        <v>3057</v>
      </c>
      <c r="B1133" s="38">
        <v>999881999392721</v>
      </c>
      <c r="C1133" s="36" t="s">
        <v>40</v>
      </c>
      <c r="D1133" s="36" t="s">
        <v>10</v>
      </c>
      <c r="E1133" s="36" t="s">
        <v>3058</v>
      </c>
      <c r="F1133" s="36" t="s">
        <v>1332</v>
      </c>
      <c r="G1133" s="36" t="s">
        <v>1141</v>
      </c>
      <c r="H1133" s="36">
        <v>0</v>
      </c>
      <c r="I1133" s="37" t="s">
        <v>33</v>
      </c>
      <c r="J1133" t="str">
        <f>VLOOKUP(F1133,'[1]BASE DE DADOS'!$A:$C,3,0)</f>
        <v xml:space="preserve">Alex Junior Rodrigues dos santos </v>
      </c>
    </row>
    <row r="1134" spans="1:10" x14ac:dyDescent="0.25">
      <c r="A1134" s="36" t="s">
        <v>3059</v>
      </c>
      <c r="B1134" s="38">
        <v>999882000520252</v>
      </c>
      <c r="C1134" s="36" t="s">
        <v>41</v>
      </c>
      <c r="D1134" s="36" t="s">
        <v>10</v>
      </c>
      <c r="E1134" s="36" t="s">
        <v>3060</v>
      </c>
      <c r="F1134" s="36" t="s">
        <v>1373</v>
      </c>
      <c r="G1134" s="36" t="s">
        <v>1141</v>
      </c>
      <c r="H1134" s="36">
        <v>0</v>
      </c>
      <c r="I1134" s="37" t="s">
        <v>33</v>
      </c>
      <c r="J1134" t="str">
        <f>VLOOKUP(F1134,'[1]BASE DE DADOS'!$A:$C,3,0)</f>
        <v>Hiago Vinicius Alves Dos Santos Silva</v>
      </c>
    </row>
    <row r="1135" spans="1:10" x14ac:dyDescent="0.25">
      <c r="A1135" s="36" t="s">
        <v>3061</v>
      </c>
      <c r="B1135" s="38">
        <v>999882044205920</v>
      </c>
      <c r="C1135" s="36" t="s">
        <v>40</v>
      </c>
      <c r="D1135" s="36" t="s">
        <v>10</v>
      </c>
      <c r="E1135" s="36" t="s">
        <v>3062</v>
      </c>
      <c r="F1135" s="36" t="s">
        <v>1290</v>
      </c>
      <c r="G1135" s="36" t="s">
        <v>1141</v>
      </c>
      <c r="H1135" s="36" t="s">
        <v>3063</v>
      </c>
      <c r="I1135" s="37" t="s">
        <v>32</v>
      </c>
      <c r="J1135" t="str">
        <f>VLOOKUP(F1135,'[1]BASE DE DADOS'!$A:$C,3,0)</f>
        <v>Eduardo Carvalho Vieira dos Santos</v>
      </c>
    </row>
    <row r="1136" spans="1:10" x14ac:dyDescent="0.25">
      <c r="A1136" s="36" t="s">
        <v>3064</v>
      </c>
      <c r="B1136" s="38">
        <v>999882031139292</v>
      </c>
      <c r="C1136" s="36" t="s">
        <v>40</v>
      </c>
      <c r="D1136" s="36" t="s">
        <v>10</v>
      </c>
      <c r="E1136" s="36" t="s">
        <v>3065</v>
      </c>
      <c r="F1136" s="36" t="s">
        <v>1290</v>
      </c>
      <c r="G1136" s="36" t="s">
        <v>1141</v>
      </c>
      <c r="H1136" s="36" t="s">
        <v>3063</v>
      </c>
      <c r="I1136" s="37" t="s">
        <v>32</v>
      </c>
      <c r="J1136" t="str">
        <f>VLOOKUP(F1136,'[1]BASE DE DADOS'!$A:$C,3,0)</f>
        <v>Eduardo Carvalho Vieira dos Santos</v>
      </c>
    </row>
    <row r="1137" spans="1:10" x14ac:dyDescent="0.25">
      <c r="A1137" s="36" t="s">
        <v>3066</v>
      </c>
      <c r="B1137" s="38">
        <v>999882059367333</v>
      </c>
      <c r="C1137" s="36" t="s">
        <v>40</v>
      </c>
      <c r="D1137" s="36" t="s">
        <v>10</v>
      </c>
      <c r="E1137" s="36" t="s">
        <v>3067</v>
      </c>
      <c r="F1137" s="36" t="s">
        <v>1417</v>
      </c>
      <c r="G1137" s="36" t="s">
        <v>1141</v>
      </c>
      <c r="H1137" s="36">
        <v>0</v>
      </c>
      <c r="I1137" s="37" t="s">
        <v>33</v>
      </c>
      <c r="J1137" t="str">
        <f>VLOOKUP(F1137,'[1]BASE DE DADOS'!$A:$C,3,0)</f>
        <v>Cleber Silvestre Almeida e Silva</v>
      </c>
    </row>
    <row r="1138" spans="1:10" x14ac:dyDescent="0.25">
      <c r="A1138" s="36" t="s">
        <v>3068</v>
      </c>
      <c r="B1138" s="38">
        <v>999882009354741</v>
      </c>
      <c r="C1138" s="36" t="s">
        <v>43</v>
      </c>
      <c r="D1138" s="36" t="s">
        <v>10</v>
      </c>
      <c r="E1138" s="36" t="s">
        <v>3069</v>
      </c>
      <c r="F1138" s="36" t="s">
        <v>1438</v>
      </c>
      <c r="G1138" s="36" t="s">
        <v>1141</v>
      </c>
      <c r="H1138" s="36">
        <v>0</v>
      </c>
      <c r="I1138" s="37" t="s">
        <v>33</v>
      </c>
      <c r="J1138" t="str">
        <f>VLOOKUP(F1138,'[1]BASE DE DADOS'!$A:$C,3,0)</f>
        <v xml:space="preserve">Alex Junior Rodrigues dos santos </v>
      </c>
    </row>
    <row r="1139" spans="1:10" x14ac:dyDescent="0.25">
      <c r="A1139" s="36" t="s">
        <v>3070</v>
      </c>
      <c r="B1139" s="38">
        <v>999881950551895</v>
      </c>
      <c r="C1139" s="36" t="s">
        <v>41</v>
      </c>
      <c r="D1139" s="36" t="s">
        <v>10</v>
      </c>
      <c r="E1139" s="36" t="s">
        <v>3071</v>
      </c>
      <c r="F1139" s="36" t="s">
        <v>1955</v>
      </c>
      <c r="G1139" s="36" t="s">
        <v>1141</v>
      </c>
      <c r="H1139" s="36">
        <v>0</v>
      </c>
      <c r="I1139" s="37" t="s">
        <v>33</v>
      </c>
      <c r="J1139" t="str">
        <f>VLOOKUP(F1139,'[1]BASE DE DADOS'!$A:$C,3,0)</f>
        <v xml:space="preserve">Alex Junior Rodrigues dos santos </v>
      </c>
    </row>
    <row r="1140" spans="1:10" x14ac:dyDescent="0.25">
      <c r="A1140" s="36" t="s">
        <v>3072</v>
      </c>
      <c r="B1140" s="38">
        <v>999881953863964</v>
      </c>
      <c r="C1140" s="36" t="s">
        <v>43</v>
      </c>
      <c r="D1140" s="36" t="s">
        <v>10</v>
      </c>
      <c r="E1140" s="36" t="s">
        <v>3073</v>
      </c>
      <c r="F1140" s="36" t="s">
        <v>1236</v>
      </c>
      <c r="G1140" s="36" t="s">
        <v>1141</v>
      </c>
      <c r="H1140" s="36">
        <v>0</v>
      </c>
      <c r="I1140" s="37" t="s">
        <v>33</v>
      </c>
      <c r="J1140" t="str">
        <f>VLOOKUP(F1140,'[1]BASE DE DADOS'!$A:$C,3,0)</f>
        <v>Eduardo Carvalho Vieira dos Santos</v>
      </c>
    </row>
    <row r="1141" spans="1:10" x14ac:dyDescent="0.25">
      <c r="A1141" s="36" t="s">
        <v>3074</v>
      </c>
      <c r="B1141" s="38">
        <v>999882044198281</v>
      </c>
      <c r="C1141" s="36" t="s">
        <v>43</v>
      </c>
      <c r="D1141" s="36" t="s">
        <v>10</v>
      </c>
      <c r="E1141" s="36" t="s">
        <v>3075</v>
      </c>
      <c r="F1141" s="36" t="s">
        <v>3076</v>
      </c>
      <c r="G1141" s="36" t="s">
        <v>1141</v>
      </c>
      <c r="H1141" s="36">
        <v>0</v>
      </c>
      <c r="I1141" s="37" t="s">
        <v>33</v>
      </c>
      <c r="J1141" t="str">
        <f>VLOOKUP(F1141,'[1]BASE DE DADOS'!$A:$C,3,0)</f>
        <v xml:space="preserve">Alex Junior Rodrigues dos santos </v>
      </c>
    </row>
    <row r="1142" spans="1:10" x14ac:dyDescent="0.25">
      <c r="A1142" s="36" t="s">
        <v>3077</v>
      </c>
      <c r="B1142" s="38">
        <v>999882006105529</v>
      </c>
      <c r="C1142" s="36" t="s">
        <v>41</v>
      </c>
      <c r="D1142" s="36" t="s">
        <v>10</v>
      </c>
      <c r="E1142" s="36" t="s">
        <v>3078</v>
      </c>
      <c r="F1142" s="36" t="s">
        <v>1297</v>
      </c>
      <c r="G1142" s="36" t="s">
        <v>1141</v>
      </c>
      <c r="H1142" s="36">
        <v>0</v>
      </c>
      <c r="I1142" s="37" t="s">
        <v>33</v>
      </c>
      <c r="J1142" t="str">
        <f>VLOOKUP(F1142,'[1]BASE DE DADOS'!$A:$C,3,0)</f>
        <v>Cleber Silvestre Almeida e Silva</v>
      </c>
    </row>
    <row r="1143" spans="1:10" x14ac:dyDescent="0.25">
      <c r="A1143" s="36" t="s">
        <v>3079</v>
      </c>
      <c r="B1143" s="38">
        <v>999881984224499</v>
      </c>
      <c r="C1143" s="36" t="s">
        <v>43</v>
      </c>
      <c r="D1143" s="36" t="s">
        <v>10</v>
      </c>
      <c r="E1143" s="36" t="s">
        <v>3080</v>
      </c>
      <c r="F1143" s="36" t="s">
        <v>1408</v>
      </c>
      <c r="G1143" s="36" t="s">
        <v>1141</v>
      </c>
      <c r="H1143" s="36">
        <v>0</v>
      </c>
      <c r="I1143" s="37" t="s">
        <v>33</v>
      </c>
      <c r="J1143" t="str">
        <f>VLOOKUP(F1143,'[1]BASE DE DADOS'!$A:$C,3,0)</f>
        <v>Hiago Vinicius Alves Dos Santos Silva</v>
      </c>
    </row>
    <row r="1144" spans="1:10" x14ac:dyDescent="0.25">
      <c r="A1144" s="36" t="s">
        <v>3081</v>
      </c>
      <c r="B1144" s="38">
        <v>999882027975535</v>
      </c>
      <c r="C1144" s="36" t="s">
        <v>41</v>
      </c>
      <c r="D1144" s="36" t="s">
        <v>10</v>
      </c>
      <c r="E1144" s="36" t="s">
        <v>3082</v>
      </c>
      <c r="F1144" s="36" t="s">
        <v>1625</v>
      </c>
      <c r="G1144" s="36" t="s">
        <v>1141</v>
      </c>
      <c r="H1144" s="36">
        <v>0</v>
      </c>
      <c r="I1144" s="37" t="s">
        <v>33</v>
      </c>
      <c r="J1144" t="str">
        <f>VLOOKUP(F1144,'[1]BASE DE DADOS'!$A:$C,3,0)</f>
        <v>Eduardo Carvalho Vieira dos Santos</v>
      </c>
    </row>
    <row r="1145" spans="1:10" x14ac:dyDescent="0.25">
      <c r="A1145" s="36" t="s">
        <v>3083</v>
      </c>
      <c r="B1145" s="38">
        <v>999882011327376</v>
      </c>
      <c r="C1145" s="36" t="s">
        <v>41</v>
      </c>
      <c r="D1145" s="36" t="s">
        <v>10</v>
      </c>
      <c r="E1145" s="36" t="s">
        <v>3084</v>
      </c>
      <c r="F1145" s="36" t="s">
        <v>2424</v>
      </c>
      <c r="G1145" s="36" t="s">
        <v>1141</v>
      </c>
      <c r="H1145" s="36">
        <v>0</v>
      </c>
      <c r="I1145" s="37" t="s">
        <v>33</v>
      </c>
      <c r="J1145" t="str">
        <f>VLOOKUP(F1145,'[1]BASE DE DADOS'!$A:$C,3,0)</f>
        <v>Eduardo Carvalho Vieira dos Santos</v>
      </c>
    </row>
    <row r="1146" spans="1:10" x14ac:dyDescent="0.25">
      <c r="A1146" s="36" t="s">
        <v>3085</v>
      </c>
      <c r="B1146" s="38">
        <v>999882007320944</v>
      </c>
      <c r="C1146" s="36" t="s">
        <v>43</v>
      </c>
      <c r="D1146" s="36" t="s">
        <v>10</v>
      </c>
      <c r="E1146" s="36" t="s">
        <v>3086</v>
      </c>
      <c r="F1146" s="36" t="s">
        <v>1140</v>
      </c>
      <c r="G1146" s="36" t="s">
        <v>1141</v>
      </c>
      <c r="H1146" s="36">
        <v>0</v>
      </c>
      <c r="I1146" s="37" t="s">
        <v>33</v>
      </c>
      <c r="J1146" t="str">
        <f>VLOOKUP(F1146,'[1]BASE DE DADOS'!$A:$C,3,0)</f>
        <v xml:space="preserve">Alex Junior Rodrigues dos santos </v>
      </c>
    </row>
    <row r="1147" spans="1:10" x14ac:dyDescent="0.25">
      <c r="A1147" s="36" t="s">
        <v>3087</v>
      </c>
      <c r="B1147" s="38">
        <v>999882062864482</v>
      </c>
      <c r="C1147" s="36" t="s">
        <v>43</v>
      </c>
      <c r="D1147" s="36" t="s">
        <v>10</v>
      </c>
      <c r="E1147" s="36" t="s">
        <v>3088</v>
      </c>
      <c r="F1147" s="36" t="s">
        <v>2606</v>
      </c>
      <c r="G1147" s="36" t="s">
        <v>1141</v>
      </c>
      <c r="H1147" s="36">
        <v>0</v>
      </c>
      <c r="I1147" s="37" t="s">
        <v>33</v>
      </c>
      <c r="J1147" t="str">
        <f>VLOOKUP(F1147,'[1]BASE DE DADOS'!$A:$C,3,0)</f>
        <v xml:space="preserve">Alex Junior Rodrigues dos santos </v>
      </c>
    </row>
    <row r="1148" spans="1:10" x14ac:dyDescent="0.25">
      <c r="A1148" s="36" t="s">
        <v>3089</v>
      </c>
      <c r="B1148" s="38">
        <v>999882016038255</v>
      </c>
      <c r="C1148" s="36" t="s">
        <v>41</v>
      </c>
      <c r="D1148" s="36" t="s">
        <v>10</v>
      </c>
      <c r="E1148" s="36" t="s">
        <v>3090</v>
      </c>
      <c r="F1148" s="36" t="s">
        <v>1373</v>
      </c>
      <c r="G1148" s="36" t="s">
        <v>1141</v>
      </c>
      <c r="H1148" s="36">
        <v>0</v>
      </c>
      <c r="I1148" s="37" t="s">
        <v>33</v>
      </c>
      <c r="J1148" t="str">
        <f>VLOOKUP(F1148,'[1]BASE DE DADOS'!$A:$C,3,0)</f>
        <v>Hiago Vinicius Alves Dos Santos Silva</v>
      </c>
    </row>
    <row r="1149" spans="1:10" x14ac:dyDescent="0.25">
      <c r="A1149" s="36" t="s">
        <v>3091</v>
      </c>
      <c r="B1149" s="38">
        <v>999881940474025</v>
      </c>
      <c r="C1149" s="36" t="s">
        <v>41</v>
      </c>
      <c r="D1149" s="36" t="s">
        <v>10</v>
      </c>
      <c r="E1149" s="36" t="s">
        <v>3092</v>
      </c>
      <c r="F1149" s="36" t="s">
        <v>1297</v>
      </c>
      <c r="G1149" s="36" t="s">
        <v>1141</v>
      </c>
      <c r="H1149" s="36">
        <v>0</v>
      </c>
      <c r="I1149" s="37" t="s">
        <v>33</v>
      </c>
      <c r="J1149" t="str">
        <f>VLOOKUP(F1149,'[1]BASE DE DADOS'!$A:$C,3,0)</f>
        <v>Cleber Silvestre Almeida e Silva</v>
      </c>
    </row>
    <row r="1150" spans="1:10" x14ac:dyDescent="0.25">
      <c r="A1150" s="36" t="s">
        <v>3093</v>
      </c>
      <c r="B1150" s="38">
        <v>999881977326893</v>
      </c>
      <c r="C1150" s="36" t="s">
        <v>43</v>
      </c>
      <c r="D1150" s="36" t="s">
        <v>10</v>
      </c>
      <c r="E1150" s="36" t="s">
        <v>3094</v>
      </c>
      <c r="F1150" s="36" t="s">
        <v>2676</v>
      </c>
      <c r="G1150" s="36" t="s">
        <v>1141</v>
      </c>
      <c r="H1150" s="36">
        <v>0</v>
      </c>
      <c r="I1150" s="37" t="s">
        <v>33</v>
      </c>
      <c r="J1150" t="str">
        <f>VLOOKUP(F1150,'[1]BASE DE DADOS'!$A:$C,3,0)</f>
        <v>Cleber Silvestre Almeida e Silva</v>
      </c>
    </row>
    <row r="1151" spans="1:10" x14ac:dyDescent="0.25">
      <c r="A1151" s="36" t="s">
        <v>3095</v>
      </c>
      <c r="B1151" s="38">
        <v>999882004411365</v>
      </c>
      <c r="C1151" s="36" t="s">
        <v>43</v>
      </c>
      <c r="D1151" s="36" t="s">
        <v>10</v>
      </c>
      <c r="E1151" s="36" t="s">
        <v>3096</v>
      </c>
      <c r="F1151" s="36" t="s">
        <v>1232</v>
      </c>
      <c r="G1151" s="36" t="s">
        <v>1141</v>
      </c>
      <c r="H1151" s="36">
        <v>0</v>
      </c>
      <c r="I1151" s="37" t="s">
        <v>33</v>
      </c>
      <c r="J1151" t="str">
        <f>VLOOKUP(F1151,'[1]BASE DE DADOS'!$A:$C,3,0)</f>
        <v>Eduardo Carvalho Vieira dos Santos</v>
      </c>
    </row>
    <row r="1152" spans="1:10" x14ac:dyDescent="0.25">
      <c r="A1152" s="36" t="s">
        <v>3097</v>
      </c>
      <c r="B1152" s="38">
        <v>999882016541946</v>
      </c>
      <c r="C1152" s="36" t="s">
        <v>40</v>
      </c>
      <c r="D1152" s="36" t="s">
        <v>10</v>
      </c>
      <c r="E1152" s="36" t="s">
        <v>3098</v>
      </c>
      <c r="F1152" s="36" t="s">
        <v>2469</v>
      </c>
      <c r="G1152" s="36" t="s">
        <v>1141</v>
      </c>
      <c r="H1152" s="36">
        <v>0</v>
      </c>
      <c r="I1152" s="37" t="s">
        <v>33</v>
      </c>
      <c r="J1152" t="str">
        <f>VLOOKUP(F1152,'[1]BASE DE DADOS'!$A:$C,3,0)</f>
        <v xml:space="preserve">Alex Junior Rodrigues dos santos </v>
      </c>
    </row>
    <row r="1153" spans="1:10" x14ac:dyDescent="0.25">
      <c r="A1153" s="36" t="s">
        <v>3099</v>
      </c>
      <c r="B1153" s="38">
        <v>999881932178433</v>
      </c>
      <c r="C1153" s="36" t="s">
        <v>43</v>
      </c>
      <c r="D1153" s="36" t="s">
        <v>10</v>
      </c>
      <c r="E1153" s="36" t="s">
        <v>3100</v>
      </c>
      <c r="F1153" s="36" t="s">
        <v>2081</v>
      </c>
      <c r="G1153" s="36" t="s">
        <v>1141</v>
      </c>
      <c r="H1153" s="36">
        <v>0</v>
      </c>
      <c r="I1153" s="37" t="s">
        <v>33</v>
      </c>
      <c r="J1153" t="str">
        <f>VLOOKUP(F1153,'[1]BASE DE DADOS'!$A:$C,3,0)</f>
        <v>Cleber Silvestre Almeida e Silva</v>
      </c>
    </row>
    <row r="1154" spans="1:10" x14ac:dyDescent="0.25">
      <c r="A1154" s="36" t="s">
        <v>3101</v>
      </c>
      <c r="B1154" s="38">
        <v>999882026867838</v>
      </c>
      <c r="C1154" s="36" t="s">
        <v>41</v>
      </c>
      <c r="D1154" s="36" t="s">
        <v>10</v>
      </c>
      <c r="E1154" s="36" t="s">
        <v>3102</v>
      </c>
      <c r="F1154" s="36" t="s">
        <v>1254</v>
      </c>
      <c r="G1154" s="36" t="s">
        <v>1141</v>
      </c>
      <c r="H1154" s="36">
        <v>0</v>
      </c>
      <c r="I1154" s="37" t="s">
        <v>33</v>
      </c>
      <c r="J1154" t="str">
        <f>VLOOKUP(F1154,'[1]BASE DE DADOS'!$A:$C,3,0)</f>
        <v>Eduardo Carvalho Vieira dos Santos</v>
      </c>
    </row>
    <row r="1155" spans="1:10" x14ac:dyDescent="0.25">
      <c r="A1155" s="36" t="s">
        <v>3103</v>
      </c>
      <c r="B1155" s="38">
        <v>999882024759904</v>
      </c>
      <c r="C1155" s="36" t="s">
        <v>40</v>
      </c>
      <c r="D1155" s="36" t="s">
        <v>10</v>
      </c>
      <c r="E1155" s="36" t="s">
        <v>3104</v>
      </c>
      <c r="F1155" s="36" t="s">
        <v>1144</v>
      </c>
      <c r="G1155" s="36" t="s">
        <v>1141</v>
      </c>
      <c r="H1155" s="36">
        <v>0</v>
      </c>
      <c r="I1155" s="37" t="s">
        <v>33</v>
      </c>
      <c r="J1155" t="str">
        <f>VLOOKUP(F1155,'[1]BASE DE DADOS'!$A:$C,3,0)</f>
        <v xml:space="preserve">Alex Junior Rodrigues dos santos </v>
      </c>
    </row>
    <row r="1156" spans="1:10" x14ac:dyDescent="0.25">
      <c r="A1156" s="36" t="s">
        <v>3105</v>
      </c>
      <c r="B1156" s="38">
        <v>999882020269214</v>
      </c>
      <c r="C1156" s="36" t="s">
        <v>43</v>
      </c>
      <c r="D1156" s="36" t="s">
        <v>10</v>
      </c>
      <c r="E1156" s="36" t="s">
        <v>3106</v>
      </c>
      <c r="F1156" s="36" t="s">
        <v>1263</v>
      </c>
      <c r="G1156" s="36" t="s">
        <v>1141</v>
      </c>
      <c r="H1156" s="36">
        <v>0</v>
      </c>
      <c r="I1156" s="37" t="s">
        <v>33</v>
      </c>
      <c r="J1156" t="str">
        <f>VLOOKUP(F1156,'[1]BASE DE DADOS'!$A:$C,3,0)</f>
        <v>Eduardo Carvalho Vieira dos Santos</v>
      </c>
    </row>
    <row r="1157" spans="1:10" x14ac:dyDescent="0.25">
      <c r="A1157" s="36" t="s">
        <v>3107</v>
      </c>
      <c r="B1157" s="38">
        <v>999881957979091</v>
      </c>
      <c r="C1157" s="36" t="s">
        <v>40</v>
      </c>
      <c r="D1157" s="36" t="s">
        <v>10</v>
      </c>
      <c r="E1157" s="36" t="s">
        <v>3108</v>
      </c>
      <c r="F1157" s="36" t="s">
        <v>2132</v>
      </c>
      <c r="G1157" s="36" t="s">
        <v>1141</v>
      </c>
      <c r="H1157" s="36">
        <v>0</v>
      </c>
      <c r="I1157" s="37" t="s">
        <v>33</v>
      </c>
      <c r="J1157" t="str">
        <f>VLOOKUP(F1157,'[1]BASE DE DADOS'!$A:$C,3,0)</f>
        <v>Eduardo Carvalho Vieira dos Santos</v>
      </c>
    </row>
    <row r="1158" spans="1:10" x14ac:dyDescent="0.25">
      <c r="A1158" s="36" t="s">
        <v>3109</v>
      </c>
      <c r="B1158" s="38">
        <v>999882004590364</v>
      </c>
      <c r="C1158" s="36" t="s">
        <v>40</v>
      </c>
      <c r="D1158" s="36" t="s">
        <v>10</v>
      </c>
      <c r="E1158" s="36" t="s">
        <v>3110</v>
      </c>
      <c r="F1158" s="36" t="s">
        <v>1270</v>
      </c>
      <c r="G1158" s="36" t="s">
        <v>1141</v>
      </c>
      <c r="H1158" s="36">
        <v>0</v>
      </c>
      <c r="I1158" s="37" t="s">
        <v>33</v>
      </c>
      <c r="J1158" t="str">
        <f>VLOOKUP(F1158,'[1]BASE DE DADOS'!$A:$C,3,0)</f>
        <v xml:space="preserve">Alex Junior Rodrigues dos santos </v>
      </c>
    </row>
    <row r="1159" spans="1:10" x14ac:dyDescent="0.25">
      <c r="A1159" s="36" t="s">
        <v>3111</v>
      </c>
      <c r="B1159" s="38">
        <v>999882011605985</v>
      </c>
      <c r="C1159" s="36" t="s">
        <v>40</v>
      </c>
      <c r="D1159" s="36" t="s">
        <v>10</v>
      </c>
      <c r="E1159" s="36" t="s">
        <v>3112</v>
      </c>
      <c r="F1159" s="36" t="s">
        <v>1270</v>
      </c>
      <c r="G1159" s="36" t="s">
        <v>1141</v>
      </c>
      <c r="H1159" s="36">
        <v>0</v>
      </c>
      <c r="I1159" s="37" t="s">
        <v>33</v>
      </c>
      <c r="J1159" t="str">
        <f>VLOOKUP(F1159,'[1]BASE DE DADOS'!$A:$C,3,0)</f>
        <v xml:space="preserve">Alex Junior Rodrigues dos santos </v>
      </c>
    </row>
    <row r="1160" spans="1:10" x14ac:dyDescent="0.25">
      <c r="A1160" s="36" t="s">
        <v>3113</v>
      </c>
      <c r="B1160" s="38">
        <v>999881935672092</v>
      </c>
      <c r="C1160" s="36" t="s">
        <v>40</v>
      </c>
      <c r="D1160" s="36" t="s">
        <v>10</v>
      </c>
      <c r="E1160" s="36" t="s">
        <v>3114</v>
      </c>
      <c r="F1160" s="36" t="s">
        <v>1180</v>
      </c>
      <c r="G1160" s="36" t="s">
        <v>1141</v>
      </c>
      <c r="H1160" s="36">
        <v>0</v>
      </c>
      <c r="I1160" s="37" t="s">
        <v>33</v>
      </c>
      <c r="J1160" t="str">
        <f>VLOOKUP(F1160,'[1]BASE DE DADOS'!$A:$C,3,0)</f>
        <v xml:space="preserve">Alex Junior Rodrigues dos santos </v>
      </c>
    </row>
    <row r="1161" spans="1:10" x14ac:dyDescent="0.25">
      <c r="A1161" s="36" t="s">
        <v>3115</v>
      </c>
      <c r="B1161" s="38">
        <v>999882029430170</v>
      </c>
      <c r="C1161" s="36" t="s">
        <v>40</v>
      </c>
      <c r="D1161" s="36" t="s">
        <v>10</v>
      </c>
      <c r="E1161" s="36" t="s">
        <v>3116</v>
      </c>
      <c r="F1161" s="36" t="s">
        <v>1408</v>
      </c>
      <c r="G1161" s="36" t="s">
        <v>1141</v>
      </c>
      <c r="H1161" s="36">
        <v>0</v>
      </c>
      <c r="I1161" s="37" t="s">
        <v>33</v>
      </c>
      <c r="J1161" t="str">
        <f>VLOOKUP(F1161,'[1]BASE DE DADOS'!$A:$C,3,0)</f>
        <v>Hiago Vinicius Alves Dos Santos Silva</v>
      </c>
    </row>
    <row r="1162" spans="1:10" x14ac:dyDescent="0.25">
      <c r="A1162" s="36" t="s">
        <v>3117</v>
      </c>
      <c r="B1162" s="38">
        <v>999882002894602</v>
      </c>
      <c r="C1162" s="36" t="s">
        <v>40</v>
      </c>
      <c r="D1162" s="36" t="s">
        <v>10</v>
      </c>
      <c r="E1162" s="36" t="s">
        <v>3118</v>
      </c>
      <c r="F1162" s="36" t="s">
        <v>1144</v>
      </c>
      <c r="G1162" s="36" t="s">
        <v>1141</v>
      </c>
      <c r="H1162" s="36">
        <v>0</v>
      </c>
      <c r="I1162" s="37" t="s">
        <v>33</v>
      </c>
      <c r="J1162" t="str">
        <f>VLOOKUP(F1162,'[1]BASE DE DADOS'!$A:$C,3,0)</f>
        <v xml:space="preserve">Alex Junior Rodrigues dos santos </v>
      </c>
    </row>
    <row r="1163" spans="1:10" x14ac:dyDescent="0.25">
      <c r="A1163" s="36" t="s">
        <v>3119</v>
      </c>
      <c r="B1163" s="38">
        <v>999882010146405</v>
      </c>
      <c r="C1163" s="36" t="s">
        <v>40</v>
      </c>
      <c r="D1163" s="36" t="s">
        <v>10</v>
      </c>
      <c r="E1163" s="36" t="s">
        <v>3120</v>
      </c>
      <c r="F1163" s="36" t="s">
        <v>1144</v>
      </c>
      <c r="G1163" s="36" t="s">
        <v>1141</v>
      </c>
      <c r="H1163" s="36">
        <v>0</v>
      </c>
      <c r="I1163" s="37" t="s">
        <v>33</v>
      </c>
      <c r="J1163" t="str">
        <f>VLOOKUP(F1163,'[1]BASE DE DADOS'!$A:$C,3,0)</f>
        <v xml:space="preserve">Alex Junior Rodrigues dos santos </v>
      </c>
    </row>
    <row r="1164" spans="1:10" x14ac:dyDescent="0.25">
      <c r="A1164" s="36" t="s">
        <v>3121</v>
      </c>
      <c r="B1164" s="38">
        <v>999882034115680</v>
      </c>
      <c r="C1164" s="36" t="s">
        <v>40</v>
      </c>
      <c r="D1164" s="36" t="s">
        <v>10</v>
      </c>
      <c r="E1164" s="36" t="s">
        <v>3122</v>
      </c>
      <c r="F1164" s="36" t="s">
        <v>1297</v>
      </c>
      <c r="G1164" s="36" t="s">
        <v>1141</v>
      </c>
      <c r="H1164" s="36">
        <v>0</v>
      </c>
      <c r="I1164" s="37" t="s">
        <v>33</v>
      </c>
      <c r="J1164" t="str">
        <f>VLOOKUP(F1164,'[1]BASE DE DADOS'!$A:$C,3,0)</f>
        <v>Cleber Silvestre Almeida e Silva</v>
      </c>
    </row>
    <row r="1165" spans="1:10" x14ac:dyDescent="0.25">
      <c r="A1165" s="36" t="s">
        <v>3123</v>
      </c>
      <c r="B1165" s="38">
        <v>999882021897600</v>
      </c>
      <c r="C1165" s="36" t="s">
        <v>40</v>
      </c>
      <c r="D1165" s="36" t="s">
        <v>10</v>
      </c>
      <c r="E1165" s="36" t="s">
        <v>3124</v>
      </c>
      <c r="F1165" s="36" t="s">
        <v>1438</v>
      </c>
      <c r="G1165" s="36" t="s">
        <v>1141</v>
      </c>
      <c r="H1165" s="36">
        <v>0</v>
      </c>
      <c r="I1165" s="37" t="s">
        <v>33</v>
      </c>
      <c r="J1165" t="str">
        <f>VLOOKUP(F1165,'[1]BASE DE DADOS'!$A:$C,3,0)</f>
        <v xml:space="preserve">Alex Junior Rodrigues dos santos </v>
      </c>
    </row>
    <row r="1166" spans="1:10" x14ac:dyDescent="0.25">
      <c r="A1166" s="36" t="s">
        <v>3125</v>
      </c>
      <c r="B1166" s="38">
        <v>999881915153892</v>
      </c>
      <c r="C1166" s="36" t="s">
        <v>41</v>
      </c>
      <c r="D1166" s="36" t="s">
        <v>10</v>
      </c>
      <c r="E1166" s="36" t="s">
        <v>3126</v>
      </c>
      <c r="F1166" s="36" t="s">
        <v>1297</v>
      </c>
      <c r="G1166" s="36" t="s">
        <v>1141</v>
      </c>
      <c r="H1166" s="36">
        <v>0</v>
      </c>
      <c r="I1166" s="37" t="s">
        <v>33</v>
      </c>
      <c r="J1166" t="str">
        <f>VLOOKUP(F1166,'[1]BASE DE DADOS'!$A:$C,3,0)</f>
        <v>Cleber Silvestre Almeida e Silva</v>
      </c>
    </row>
    <row r="1167" spans="1:10" x14ac:dyDescent="0.25">
      <c r="A1167" s="36" t="s">
        <v>3127</v>
      </c>
      <c r="B1167" s="38">
        <v>999881988343052</v>
      </c>
      <c r="C1167" s="36" t="s">
        <v>43</v>
      </c>
      <c r="D1167" s="36" t="s">
        <v>10</v>
      </c>
      <c r="E1167" s="36" t="s">
        <v>3128</v>
      </c>
      <c r="F1167" s="36" t="s">
        <v>1562</v>
      </c>
      <c r="G1167" s="36" t="s">
        <v>1141</v>
      </c>
      <c r="H1167" s="36">
        <v>0</v>
      </c>
      <c r="I1167" s="37" t="s">
        <v>33</v>
      </c>
      <c r="J1167" t="str">
        <f>VLOOKUP(F1167,'[1]BASE DE DADOS'!$A:$C,3,0)</f>
        <v>Eduardo Carvalho Vieira dos Santos</v>
      </c>
    </row>
    <row r="1168" spans="1:10" x14ac:dyDescent="0.25">
      <c r="A1168" s="36" t="s">
        <v>3129</v>
      </c>
      <c r="B1168" s="38">
        <v>999882022625876</v>
      </c>
      <c r="C1168" s="36" t="s">
        <v>41</v>
      </c>
      <c r="D1168" s="36" t="s">
        <v>10</v>
      </c>
      <c r="E1168" s="36" t="s">
        <v>3130</v>
      </c>
      <c r="F1168" s="36" t="s">
        <v>1297</v>
      </c>
      <c r="G1168" s="36" t="s">
        <v>1141</v>
      </c>
      <c r="H1168" s="36">
        <v>0</v>
      </c>
      <c r="I1168" s="37" t="s">
        <v>33</v>
      </c>
      <c r="J1168" t="str">
        <f>VLOOKUP(F1168,'[1]BASE DE DADOS'!$A:$C,3,0)</f>
        <v>Cleber Silvestre Almeida e Silva</v>
      </c>
    </row>
    <row r="1169" spans="1:10" x14ac:dyDescent="0.25">
      <c r="A1169" s="36" t="s">
        <v>3131</v>
      </c>
      <c r="B1169" s="38">
        <v>999882022754597</v>
      </c>
      <c r="C1169" s="36" t="s">
        <v>40</v>
      </c>
      <c r="D1169" s="36" t="s">
        <v>10</v>
      </c>
      <c r="E1169" s="36" t="s">
        <v>3132</v>
      </c>
      <c r="F1169" s="36" t="s">
        <v>1184</v>
      </c>
      <c r="G1169" s="36" t="s">
        <v>1141</v>
      </c>
      <c r="H1169" s="36">
        <v>0</v>
      </c>
      <c r="I1169" s="37" t="s">
        <v>33</v>
      </c>
      <c r="J1169" t="str">
        <f>VLOOKUP(F1169,'[1]BASE DE DADOS'!$A:$C,3,0)</f>
        <v>Cleber Silvestre Almeida e Silva</v>
      </c>
    </row>
    <row r="1170" spans="1:10" x14ac:dyDescent="0.25">
      <c r="A1170" s="36" t="s">
        <v>3133</v>
      </c>
      <c r="B1170" s="38">
        <v>999882028036162</v>
      </c>
      <c r="C1170" s="36" t="s">
        <v>43</v>
      </c>
      <c r="D1170" s="36" t="s">
        <v>10</v>
      </c>
      <c r="E1170" s="36" t="s">
        <v>3134</v>
      </c>
      <c r="F1170" s="36" t="s">
        <v>1266</v>
      </c>
      <c r="G1170" s="36" t="s">
        <v>1141</v>
      </c>
      <c r="H1170" s="36">
        <v>0</v>
      </c>
      <c r="I1170" s="37" t="s">
        <v>33</v>
      </c>
      <c r="J1170" t="str">
        <f>VLOOKUP(F1170,'[1]BASE DE DADOS'!$A:$C,3,0)</f>
        <v>Eduardo Carvalho Vieira dos Santos</v>
      </c>
    </row>
    <row r="1171" spans="1:10" x14ac:dyDescent="0.25">
      <c r="A1171" s="36" t="s">
        <v>3135</v>
      </c>
      <c r="B1171" s="38">
        <v>999882010985294</v>
      </c>
      <c r="C1171" s="36" t="s">
        <v>42</v>
      </c>
      <c r="D1171" s="36" t="s">
        <v>10</v>
      </c>
      <c r="E1171" s="36" t="s">
        <v>3136</v>
      </c>
      <c r="F1171" s="36" t="s">
        <v>1184</v>
      </c>
      <c r="G1171" s="36" t="s">
        <v>1141</v>
      </c>
      <c r="H1171" s="36">
        <v>0</v>
      </c>
      <c r="I1171" s="37" t="s">
        <v>33</v>
      </c>
      <c r="J1171" t="str">
        <f>VLOOKUP(F1171,'[1]BASE DE DADOS'!$A:$C,3,0)</f>
        <v>Cleber Silvestre Almeida e Silva</v>
      </c>
    </row>
    <row r="1172" spans="1:10" x14ac:dyDescent="0.25">
      <c r="A1172" s="36" t="s">
        <v>3137</v>
      </c>
      <c r="B1172" s="38">
        <v>999881980119450</v>
      </c>
      <c r="C1172" s="36" t="s">
        <v>43</v>
      </c>
      <c r="D1172" s="36" t="s">
        <v>10</v>
      </c>
      <c r="E1172" s="36" t="s">
        <v>3138</v>
      </c>
      <c r="F1172" s="36" t="s">
        <v>2081</v>
      </c>
      <c r="G1172" s="36" t="s">
        <v>1141</v>
      </c>
      <c r="H1172" s="36">
        <v>0</v>
      </c>
      <c r="I1172" s="37" t="s">
        <v>33</v>
      </c>
      <c r="J1172" t="str">
        <f>VLOOKUP(F1172,'[1]BASE DE DADOS'!$A:$C,3,0)</f>
        <v>Cleber Silvestre Almeida e Silva</v>
      </c>
    </row>
    <row r="1173" spans="1:10" x14ac:dyDescent="0.25">
      <c r="A1173" s="36" t="s">
        <v>3139</v>
      </c>
      <c r="B1173" s="38">
        <v>999882041910830</v>
      </c>
      <c r="C1173" s="36" t="s">
        <v>41</v>
      </c>
      <c r="D1173" s="36" t="s">
        <v>10</v>
      </c>
      <c r="E1173" s="36" t="s">
        <v>3140</v>
      </c>
      <c r="F1173" s="36" t="s">
        <v>3141</v>
      </c>
      <c r="G1173" s="36" t="s">
        <v>1141</v>
      </c>
      <c r="H1173" s="36">
        <v>0</v>
      </c>
      <c r="I1173" s="37" t="s">
        <v>33</v>
      </c>
      <c r="J1173" t="str">
        <f>VLOOKUP(F1173,'[1]BASE DE DADOS'!$A:$C,3,0)</f>
        <v>Hiago Vinicius Alves Dos Santos Silva</v>
      </c>
    </row>
    <row r="1174" spans="1:10" x14ac:dyDescent="0.25">
      <c r="A1174" s="36" t="s">
        <v>3142</v>
      </c>
      <c r="B1174" s="38">
        <v>999881994420291</v>
      </c>
      <c r="C1174" s="36" t="s">
        <v>40</v>
      </c>
      <c r="D1174" s="36" t="s">
        <v>10</v>
      </c>
      <c r="E1174" s="36" t="s">
        <v>3143</v>
      </c>
      <c r="F1174" s="36" t="s">
        <v>2991</v>
      </c>
      <c r="G1174" s="36" t="s">
        <v>1141</v>
      </c>
      <c r="H1174" s="36">
        <v>0</v>
      </c>
      <c r="I1174" s="37" t="s">
        <v>33</v>
      </c>
      <c r="J1174" t="str">
        <f>VLOOKUP(F1174,'[1]BASE DE DADOS'!$A:$C,3,0)</f>
        <v>Cleber Silvestre Almeida e Silva</v>
      </c>
    </row>
    <row r="1175" spans="1:10" x14ac:dyDescent="0.25">
      <c r="A1175" s="36" t="s">
        <v>3144</v>
      </c>
      <c r="B1175" s="38">
        <v>999882004757413</v>
      </c>
      <c r="C1175" s="36" t="s">
        <v>43</v>
      </c>
      <c r="D1175" s="36" t="s">
        <v>10</v>
      </c>
      <c r="E1175" s="36" t="s">
        <v>3145</v>
      </c>
      <c r="F1175" s="36" t="s">
        <v>1779</v>
      </c>
      <c r="G1175" s="36" t="s">
        <v>1141</v>
      </c>
      <c r="H1175" s="36">
        <v>0</v>
      </c>
      <c r="I1175" s="37" t="s">
        <v>33</v>
      </c>
      <c r="J1175" t="str">
        <f>VLOOKUP(F1175,'[1]BASE DE DADOS'!$A:$C,3,0)</f>
        <v>Eduardo Carvalho Vieira dos Santos</v>
      </c>
    </row>
    <row r="1176" spans="1:10" x14ac:dyDescent="0.25">
      <c r="A1176" s="36" t="s">
        <v>3146</v>
      </c>
      <c r="B1176" s="38">
        <v>999882032287038</v>
      </c>
      <c r="C1176" s="36" t="s">
        <v>43</v>
      </c>
      <c r="D1176" s="36" t="s">
        <v>10</v>
      </c>
      <c r="E1176" s="36" t="s">
        <v>3147</v>
      </c>
      <c r="F1176" s="36" t="s">
        <v>1263</v>
      </c>
      <c r="G1176" s="36" t="s">
        <v>1141</v>
      </c>
      <c r="H1176" s="36">
        <v>0</v>
      </c>
      <c r="I1176" s="37" t="s">
        <v>33</v>
      </c>
      <c r="J1176" t="str">
        <f>VLOOKUP(F1176,'[1]BASE DE DADOS'!$A:$C,3,0)</f>
        <v>Eduardo Carvalho Vieira dos Santos</v>
      </c>
    </row>
    <row r="1177" spans="1:10" x14ac:dyDescent="0.25">
      <c r="A1177" s="36" t="s">
        <v>3148</v>
      </c>
      <c r="B1177" s="38">
        <v>999881999974269</v>
      </c>
      <c r="C1177" s="36" t="s">
        <v>43</v>
      </c>
      <c r="D1177" s="36" t="s">
        <v>10</v>
      </c>
      <c r="E1177" s="36" t="s">
        <v>3149</v>
      </c>
      <c r="F1177" s="36" t="s">
        <v>2284</v>
      </c>
      <c r="G1177" s="36" t="s">
        <v>1141</v>
      </c>
      <c r="H1177" s="36">
        <v>0</v>
      </c>
      <c r="I1177" s="37" t="s">
        <v>33</v>
      </c>
      <c r="J1177" t="str">
        <f>VLOOKUP(F1177,'[1]BASE DE DADOS'!$A:$C,3,0)</f>
        <v xml:space="preserve">Alex Junior Rodrigues dos santos </v>
      </c>
    </row>
    <row r="1178" spans="1:10" x14ac:dyDescent="0.25">
      <c r="A1178" s="36" t="s">
        <v>3150</v>
      </c>
      <c r="B1178" s="38">
        <v>999881998201451</v>
      </c>
      <c r="C1178" s="36" t="s">
        <v>43</v>
      </c>
      <c r="D1178" s="36" t="s">
        <v>10</v>
      </c>
      <c r="E1178" s="36" t="s">
        <v>3151</v>
      </c>
      <c r="F1178" s="36" t="s">
        <v>1684</v>
      </c>
      <c r="G1178" s="36" t="s">
        <v>1141</v>
      </c>
      <c r="H1178" s="36">
        <v>0</v>
      </c>
      <c r="I1178" s="37" t="s">
        <v>33</v>
      </c>
      <c r="J1178" t="str">
        <f>VLOOKUP(F1178,'[1]BASE DE DADOS'!$A:$C,3,0)</f>
        <v>Eduardo Carvalho Vieira dos Santos</v>
      </c>
    </row>
    <row r="1179" spans="1:10" x14ac:dyDescent="0.25">
      <c r="A1179" s="36" t="s">
        <v>3152</v>
      </c>
      <c r="B1179" s="38">
        <v>999882024371159</v>
      </c>
      <c r="C1179" s="36" t="s">
        <v>43</v>
      </c>
      <c r="D1179" s="36" t="s">
        <v>10</v>
      </c>
      <c r="E1179" s="36" t="s">
        <v>3153</v>
      </c>
      <c r="F1179" s="36" t="s">
        <v>1266</v>
      </c>
      <c r="G1179" s="36" t="s">
        <v>1141</v>
      </c>
      <c r="H1179" s="36">
        <v>0</v>
      </c>
      <c r="I1179" s="37" t="s">
        <v>33</v>
      </c>
      <c r="J1179" t="str">
        <f>VLOOKUP(F1179,'[1]BASE DE DADOS'!$A:$C,3,0)</f>
        <v>Eduardo Carvalho Vieira dos Santos</v>
      </c>
    </row>
    <row r="1180" spans="1:10" x14ac:dyDescent="0.25">
      <c r="A1180" s="36" t="s">
        <v>3154</v>
      </c>
      <c r="B1180" s="38">
        <v>999881992532281</v>
      </c>
      <c r="C1180" s="36" t="s">
        <v>40</v>
      </c>
      <c r="D1180" s="36" t="s">
        <v>10</v>
      </c>
      <c r="E1180" s="36" t="s">
        <v>3155</v>
      </c>
      <c r="F1180" s="36" t="s">
        <v>1254</v>
      </c>
      <c r="G1180" s="36" t="s">
        <v>1141</v>
      </c>
      <c r="H1180" s="36">
        <v>0</v>
      </c>
      <c r="I1180" s="37" t="s">
        <v>33</v>
      </c>
      <c r="J1180" t="str">
        <f>VLOOKUP(F1180,'[1]BASE DE DADOS'!$A:$C,3,0)</f>
        <v>Eduardo Carvalho Vieira dos Santos</v>
      </c>
    </row>
    <row r="1181" spans="1:10" x14ac:dyDescent="0.25">
      <c r="A1181" s="36" t="s">
        <v>3156</v>
      </c>
      <c r="B1181" s="38">
        <v>999882051927225</v>
      </c>
      <c r="C1181" s="36" t="s">
        <v>40</v>
      </c>
      <c r="D1181" s="36" t="s">
        <v>10</v>
      </c>
      <c r="E1181" s="36" t="s">
        <v>3157</v>
      </c>
      <c r="F1181" s="36" t="s">
        <v>1910</v>
      </c>
      <c r="G1181" s="36" t="s">
        <v>1141</v>
      </c>
      <c r="H1181" s="36">
        <v>0</v>
      </c>
      <c r="I1181" s="37" t="s">
        <v>33</v>
      </c>
      <c r="J1181" t="str">
        <f>VLOOKUP(F1181,'[1]BASE DE DADOS'!$A:$C,3,0)</f>
        <v>Cleber Silvestre Almeida e Silva</v>
      </c>
    </row>
    <row r="1182" spans="1:10" x14ac:dyDescent="0.25">
      <c r="A1182" s="36" t="s">
        <v>3158</v>
      </c>
      <c r="B1182" s="38">
        <v>999881895179077</v>
      </c>
      <c r="C1182" s="36" t="s">
        <v>43</v>
      </c>
      <c r="D1182" s="36" t="s">
        <v>10</v>
      </c>
      <c r="E1182" s="36" t="s">
        <v>3159</v>
      </c>
      <c r="F1182" s="36" t="s">
        <v>1438</v>
      </c>
      <c r="G1182" s="36" t="s">
        <v>1141</v>
      </c>
      <c r="H1182" s="36">
        <v>0</v>
      </c>
      <c r="I1182" s="37" t="s">
        <v>33</v>
      </c>
      <c r="J1182" t="str">
        <f>VLOOKUP(F1182,'[1]BASE DE DADOS'!$A:$C,3,0)</f>
        <v xml:space="preserve">Alex Junior Rodrigues dos santos </v>
      </c>
    </row>
    <row r="1183" spans="1:10" x14ac:dyDescent="0.25">
      <c r="A1183" s="36" t="s">
        <v>3160</v>
      </c>
      <c r="B1183" s="38">
        <v>999881946714699</v>
      </c>
      <c r="C1183" s="36" t="s">
        <v>41</v>
      </c>
      <c r="D1183" s="36" t="s">
        <v>10</v>
      </c>
      <c r="E1183" s="36" t="s">
        <v>3161</v>
      </c>
      <c r="F1183" s="36" t="s">
        <v>1151</v>
      </c>
      <c r="G1183" s="36" t="s">
        <v>1141</v>
      </c>
      <c r="H1183" s="36">
        <v>0</v>
      </c>
      <c r="I1183" s="37" t="s">
        <v>33</v>
      </c>
      <c r="J1183" t="str">
        <f>VLOOKUP(F1183,'[1]BASE DE DADOS'!$A:$C,3,0)</f>
        <v>Hiago Vinicius Alves Dos Santos Silva</v>
      </c>
    </row>
    <row r="1184" spans="1:10" x14ac:dyDescent="0.25">
      <c r="A1184" s="36" t="s">
        <v>3162</v>
      </c>
      <c r="B1184" s="38">
        <v>999881997462615</v>
      </c>
      <c r="C1184" s="36" t="s">
        <v>43</v>
      </c>
      <c r="D1184" s="36" t="s">
        <v>10</v>
      </c>
      <c r="E1184" s="36" t="s">
        <v>3163</v>
      </c>
      <c r="F1184" s="36" t="s">
        <v>3164</v>
      </c>
      <c r="G1184" s="36" t="s">
        <v>1141</v>
      </c>
      <c r="H1184" s="36">
        <v>0</v>
      </c>
      <c r="I1184" s="37" t="s">
        <v>33</v>
      </c>
      <c r="J1184" t="str">
        <f>VLOOKUP(F1184,'[1]BASE DE DADOS'!$A:$C,3,0)</f>
        <v>Cleber Silvestre Almeida e Silva</v>
      </c>
    </row>
    <row r="1185" spans="1:10" x14ac:dyDescent="0.25">
      <c r="A1185" s="36" t="s">
        <v>3165</v>
      </c>
      <c r="B1185" s="38">
        <v>999881962946886</v>
      </c>
      <c r="C1185" s="36" t="s">
        <v>40</v>
      </c>
      <c r="D1185" s="36" t="s">
        <v>10</v>
      </c>
      <c r="E1185" s="36" t="s">
        <v>3166</v>
      </c>
      <c r="F1185" s="36" t="s">
        <v>1293</v>
      </c>
      <c r="G1185" s="36" t="s">
        <v>1141</v>
      </c>
      <c r="H1185" s="36">
        <v>0</v>
      </c>
      <c r="I1185" s="37" t="s">
        <v>33</v>
      </c>
      <c r="J1185" t="str">
        <f>VLOOKUP(F1185,'[1]BASE DE DADOS'!$A:$C,3,0)</f>
        <v xml:space="preserve">Alex Junior Rodrigues dos santos </v>
      </c>
    </row>
    <row r="1186" spans="1:10" x14ac:dyDescent="0.25">
      <c r="A1186" s="36" t="s">
        <v>3167</v>
      </c>
      <c r="B1186" s="38">
        <v>999882043574899</v>
      </c>
      <c r="C1186" s="36" t="s">
        <v>43</v>
      </c>
      <c r="D1186" s="36" t="s">
        <v>10</v>
      </c>
      <c r="E1186" s="36" t="s">
        <v>3168</v>
      </c>
      <c r="F1186" s="36" t="s">
        <v>1270</v>
      </c>
      <c r="G1186" s="36" t="s">
        <v>1141</v>
      </c>
      <c r="H1186" s="36">
        <v>0</v>
      </c>
      <c r="I1186" s="37" t="s">
        <v>33</v>
      </c>
      <c r="J1186" t="str">
        <f>VLOOKUP(F1186,'[1]BASE DE DADOS'!$A:$C,3,0)</f>
        <v xml:space="preserve">Alex Junior Rodrigues dos santos </v>
      </c>
    </row>
    <row r="1187" spans="1:10" x14ac:dyDescent="0.25">
      <c r="A1187" s="36" t="s">
        <v>3169</v>
      </c>
      <c r="B1187" s="38">
        <v>999882059777950</v>
      </c>
      <c r="C1187" s="36" t="s">
        <v>41</v>
      </c>
      <c r="D1187" s="36" t="s">
        <v>10</v>
      </c>
      <c r="E1187" s="36" t="s">
        <v>3170</v>
      </c>
      <c r="F1187" s="36" t="s">
        <v>1442</v>
      </c>
      <c r="G1187" s="36" t="s">
        <v>1141</v>
      </c>
      <c r="H1187" s="36">
        <v>0</v>
      </c>
      <c r="I1187" s="37" t="s">
        <v>33</v>
      </c>
      <c r="J1187" t="str">
        <f>VLOOKUP(F1187,'[1]BASE DE DADOS'!$A:$C,3,0)</f>
        <v>Eduardo Carvalho Vieira dos Santos</v>
      </c>
    </row>
    <row r="1188" spans="1:10" x14ac:dyDescent="0.25">
      <c r="A1188" s="36" t="s">
        <v>3171</v>
      </c>
      <c r="B1188" s="38">
        <v>999882052998438</v>
      </c>
      <c r="C1188" s="36" t="s">
        <v>40</v>
      </c>
      <c r="D1188" s="36" t="s">
        <v>10</v>
      </c>
      <c r="E1188" s="36" t="s">
        <v>3172</v>
      </c>
      <c r="F1188" s="36" t="s">
        <v>2696</v>
      </c>
      <c r="G1188" s="36" t="s">
        <v>1141</v>
      </c>
      <c r="H1188" s="36">
        <v>0</v>
      </c>
      <c r="I1188" s="37" t="s">
        <v>33</v>
      </c>
      <c r="J1188" t="str">
        <f>VLOOKUP(F1188,'[1]BASE DE DADOS'!$A:$C,3,0)</f>
        <v>Cleber Silvestre Almeida e Silva</v>
      </c>
    </row>
    <row r="1189" spans="1:10" x14ac:dyDescent="0.25">
      <c r="A1189" s="36" t="s">
        <v>3173</v>
      </c>
      <c r="B1189" s="38">
        <v>999882000827121</v>
      </c>
      <c r="C1189" s="36" t="s">
        <v>43</v>
      </c>
      <c r="D1189" s="36" t="s">
        <v>10</v>
      </c>
      <c r="E1189" s="36" t="s">
        <v>3174</v>
      </c>
      <c r="F1189" s="36" t="s">
        <v>1247</v>
      </c>
      <c r="G1189" s="36" t="s">
        <v>1141</v>
      </c>
      <c r="H1189" s="36">
        <v>0</v>
      </c>
      <c r="I1189" s="37" t="s">
        <v>33</v>
      </c>
      <c r="J1189" t="str">
        <f>VLOOKUP(F1189,'[1]BASE DE DADOS'!$A:$C,3,0)</f>
        <v>Cleber Silvestre Almeida e Silva</v>
      </c>
    </row>
    <row r="1190" spans="1:10" x14ac:dyDescent="0.25">
      <c r="A1190" s="36" t="s">
        <v>3175</v>
      </c>
      <c r="B1190" s="38">
        <v>999882015545080</v>
      </c>
      <c r="C1190" s="36" t="s">
        <v>42</v>
      </c>
      <c r="D1190" s="36" t="s">
        <v>10</v>
      </c>
      <c r="E1190" s="36" t="s">
        <v>3176</v>
      </c>
      <c r="F1190" s="36" t="s">
        <v>1196</v>
      </c>
      <c r="G1190" s="36" t="s">
        <v>1141</v>
      </c>
      <c r="H1190" s="36">
        <v>0</v>
      </c>
      <c r="I1190" s="37" t="s">
        <v>33</v>
      </c>
      <c r="J1190" t="str">
        <f>VLOOKUP(F1190,'[1]BASE DE DADOS'!$A:$C,3,0)</f>
        <v xml:space="preserve">Alex Junior Rodrigues dos santos </v>
      </c>
    </row>
    <row r="1191" spans="1:10" x14ac:dyDescent="0.25">
      <c r="A1191" s="36" t="s">
        <v>3177</v>
      </c>
      <c r="B1191" s="38">
        <v>999881958348548</v>
      </c>
      <c r="C1191" s="36" t="s">
        <v>40</v>
      </c>
      <c r="D1191" s="36" t="s">
        <v>10</v>
      </c>
      <c r="E1191" s="36" t="s">
        <v>1088</v>
      </c>
      <c r="F1191" s="36" t="s">
        <v>2545</v>
      </c>
      <c r="G1191" s="36" t="s">
        <v>1141</v>
      </c>
      <c r="H1191" s="36">
        <v>0</v>
      </c>
      <c r="I1191" s="37" t="s">
        <v>33</v>
      </c>
      <c r="J1191" t="str">
        <f>VLOOKUP(F1191,'[1]BASE DE DADOS'!$A:$C,3,0)</f>
        <v>Cleber Silvestre Almeida e Silva</v>
      </c>
    </row>
    <row r="1192" spans="1:10" x14ac:dyDescent="0.25">
      <c r="A1192" s="36" t="s">
        <v>3178</v>
      </c>
      <c r="B1192" s="38">
        <v>999882023128773</v>
      </c>
      <c r="C1192" s="36" t="s">
        <v>42</v>
      </c>
      <c r="D1192" s="36" t="s">
        <v>10</v>
      </c>
      <c r="E1192" s="36" t="s">
        <v>3179</v>
      </c>
      <c r="F1192" s="36" t="s">
        <v>1290</v>
      </c>
      <c r="G1192" s="36" t="s">
        <v>1141</v>
      </c>
      <c r="H1192" s="36">
        <v>0</v>
      </c>
      <c r="I1192" s="37" t="s">
        <v>33</v>
      </c>
      <c r="J1192" t="str">
        <f>VLOOKUP(F1192,'[1]BASE DE DADOS'!$A:$C,3,0)</f>
        <v>Eduardo Carvalho Vieira dos Santos</v>
      </c>
    </row>
    <row r="1193" spans="1:10" x14ac:dyDescent="0.25">
      <c r="A1193" s="36" t="s">
        <v>3180</v>
      </c>
      <c r="B1193" s="38">
        <v>999882006169021</v>
      </c>
      <c r="C1193" s="36" t="s">
        <v>43</v>
      </c>
      <c r="D1193" s="36" t="s">
        <v>10</v>
      </c>
      <c r="E1193" s="36" t="s">
        <v>3181</v>
      </c>
      <c r="F1193" s="36" t="s">
        <v>1707</v>
      </c>
      <c r="G1193" s="36" t="s">
        <v>1141</v>
      </c>
      <c r="H1193" s="36">
        <v>0</v>
      </c>
      <c r="I1193" s="37" t="s">
        <v>33</v>
      </c>
      <c r="J1193" t="str">
        <f>VLOOKUP(F1193,'[1]BASE DE DADOS'!$A:$C,3,0)</f>
        <v xml:space="preserve">Alex Junior Rodrigues dos santos </v>
      </c>
    </row>
    <row r="1194" spans="1:10" x14ac:dyDescent="0.25">
      <c r="A1194" s="36" t="s">
        <v>3182</v>
      </c>
      <c r="B1194" s="38">
        <v>999882037385133</v>
      </c>
      <c r="C1194" s="36" t="s">
        <v>43</v>
      </c>
      <c r="D1194" s="36" t="s">
        <v>10</v>
      </c>
      <c r="E1194" s="36" t="s">
        <v>3183</v>
      </c>
      <c r="F1194" s="36" t="s">
        <v>1144</v>
      </c>
      <c r="G1194" s="36" t="s">
        <v>1141</v>
      </c>
      <c r="H1194" s="36">
        <v>0</v>
      </c>
      <c r="I1194" s="37" t="s">
        <v>33</v>
      </c>
      <c r="J1194" t="str">
        <f>VLOOKUP(F1194,'[1]BASE DE DADOS'!$A:$C,3,0)</f>
        <v xml:space="preserve">Alex Junior Rodrigues dos santos </v>
      </c>
    </row>
    <row r="1195" spans="1:10" x14ac:dyDescent="0.25">
      <c r="A1195" s="36" t="s">
        <v>3184</v>
      </c>
      <c r="B1195" s="38">
        <v>999882067082135</v>
      </c>
      <c r="C1195" s="36" t="s">
        <v>43</v>
      </c>
      <c r="D1195" s="36" t="s">
        <v>10</v>
      </c>
      <c r="E1195" s="36" t="s">
        <v>3185</v>
      </c>
      <c r="F1195" s="36" t="s">
        <v>1270</v>
      </c>
      <c r="G1195" s="36" t="s">
        <v>1141</v>
      </c>
      <c r="H1195" s="36">
        <v>0</v>
      </c>
      <c r="I1195" s="37" t="s">
        <v>33</v>
      </c>
      <c r="J1195" t="str">
        <f>VLOOKUP(F1195,'[1]BASE DE DADOS'!$A:$C,3,0)</f>
        <v xml:space="preserve">Alex Junior Rodrigues dos santos </v>
      </c>
    </row>
    <row r="1196" spans="1:10" x14ac:dyDescent="0.25">
      <c r="A1196" s="36" t="s">
        <v>3186</v>
      </c>
      <c r="B1196" s="38">
        <v>999882014720333</v>
      </c>
      <c r="C1196" s="36" t="s">
        <v>41</v>
      </c>
      <c r="D1196" s="36" t="s">
        <v>10</v>
      </c>
      <c r="E1196" s="36" t="s">
        <v>3185</v>
      </c>
      <c r="F1196" s="36" t="s">
        <v>1625</v>
      </c>
      <c r="G1196" s="36" t="s">
        <v>1141</v>
      </c>
      <c r="H1196" s="36">
        <v>0</v>
      </c>
      <c r="I1196" s="37" t="s">
        <v>33</v>
      </c>
      <c r="J1196" t="str">
        <f>VLOOKUP(F1196,'[1]BASE DE DADOS'!$A:$C,3,0)</f>
        <v>Eduardo Carvalho Vieira dos Santos</v>
      </c>
    </row>
    <row r="1197" spans="1:10" x14ac:dyDescent="0.25">
      <c r="A1197" s="36" t="s">
        <v>3187</v>
      </c>
      <c r="B1197" s="38">
        <v>999882015766557</v>
      </c>
      <c r="C1197" s="36" t="s">
        <v>43</v>
      </c>
      <c r="D1197" s="36" t="s">
        <v>10</v>
      </c>
      <c r="E1197" s="36" t="s">
        <v>3188</v>
      </c>
      <c r="F1197" s="36" t="s">
        <v>1144</v>
      </c>
      <c r="G1197" s="36" t="s">
        <v>1141</v>
      </c>
      <c r="H1197" s="36">
        <v>0</v>
      </c>
      <c r="I1197" s="37" t="s">
        <v>33</v>
      </c>
      <c r="J1197" t="str">
        <f>VLOOKUP(F1197,'[1]BASE DE DADOS'!$A:$C,3,0)</f>
        <v xml:space="preserve">Alex Junior Rodrigues dos santos </v>
      </c>
    </row>
    <row r="1198" spans="1:10" x14ac:dyDescent="0.25">
      <c r="A1198" s="36" t="s">
        <v>3189</v>
      </c>
      <c r="B1198" s="38">
        <v>999881937882390</v>
      </c>
      <c r="C1198" s="36" t="s">
        <v>43</v>
      </c>
      <c r="D1198" s="36" t="s">
        <v>10</v>
      </c>
      <c r="E1198" s="36" t="s">
        <v>3190</v>
      </c>
      <c r="F1198" s="36" t="s">
        <v>1356</v>
      </c>
      <c r="G1198" s="36" t="s">
        <v>1141</v>
      </c>
      <c r="H1198" s="36">
        <v>0</v>
      </c>
      <c r="I1198" s="37" t="s">
        <v>33</v>
      </c>
      <c r="J1198" t="str">
        <f>VLOOKUP(F1198,'[1]BASE DE DADOS'!$A:$C,3,0)</f>
        <v>Cleber Silvestre Almeida e Silva</v>
      </c>
    </row>
    <row r="1199" spans="1:10" x14ac:dyDescent="0.25">
      <c r="A1199" s="36" t="s">
        <v>3191</v>
      </c>
      <c r="B1199" s="38">
        <v>999882020726930</v>
      </c>
      <c r="C1199" s="36" t="s">
        <v>43</v>
      </c>
      <c r="D1199" s="36" t="s">
        <v>10</v>
      </c>
      <c r="E1199" s="36" t="s">
        <v>3192</v>
      </c>
      <c r="F1199" s="36" t="s">
        <v>1393</v>
      </c>
      <c r="G1199" s="36" t="s">
        <v>1141</v>
      </c>
      <c r="H1199" s="36">
        <v>0</v>
      </c>
      <c r="I1199" s="37" t="s">
        <v>33</v>
      </c>
      <c r="J1199" t="str">
        <f>VLOOKUP(F1199,'[1]BASE DE DADOS'!$A:$C,3,0)</f>
        <v>Eduardo Carvalho Vieira dos Santos</v>
      </c>
    </row>
    <row r="1200" spans="1:10" x14ac:dyDescent="0.25">
      <c r="A1200" s="36" t="s">
        <v>3193</v>
      </c>
      <c r="B1200" s="38">
        <v>999882014538724</v>
      </c>
      <c r="C1200" s="36" t="s">
        <v>43</v>
      </c>
      <c r="D1200" s="36" t="s">
        <v>10</v>
      </c>
      <c r="E1200" s="36" t="s">
        <v>3194</v>
      </c>
      <c r="F1200" s="36" t="s">
        <v>2064</v>
      </c>
      <c r="G1200" s="36" t="s">
        <v>1141</v>
      </c>
      <c r="H1200" s="36">
        <v>0</v>
      </c>
      <c r="I1200" s="37" t="s">
        <v>33</v>
      </c>
      <c r="J1200" t="str">
        <f>VLOOKUP(F1200,'[1]BASE DE DADOS'!$A:$C,3,0)</f>
        <v>Eduardo Carvalho Vieira dos Santos</v>
      </c>
    </row>
    <row r="1201" spans="1:10" x14ac:dyDescent="0.25">
      <c r="A1201" s="36" t="s">
        <v>3195</v>
      </c>
      <c r="B1201" s="38">
        <v>999882064587958</v>
      </c>
      <c r="C1201" s="36" t="s">
        <v>43</v>
      </c>
      <c r="D1201" s="36" t="s">
        <v>10</v>
      </c>
      <c r="E1201" s="36" t="s">
        <v>3196</v>
      </c>
      <c r="F1201" s="36" t="s">
        <v>3197</v>
      </c>
      <c r="G1201" s="36" t="s">
        <v>1141</v>
      </c>
      <c r="H1201" s="36">
        <v>0</v>
      </c>
      <c r="I1201" s="37" t="s">
        <v>33</v>
      </c>
      <c r="J1201" t="str">
        <f>VLOOKUP(F1201,'[1]BASE DE DADOS'!$A:$C,3,0)</f>
        <v xml:space="preserve">Alex Junior Rodrigues dos santos </v>
      </c>
    </row>
    <row r="1202" spans="1:10" x14ac:dyDescent="0.25">
      <c r="A1202" s="36" t="s">
        <v>3198</v>
      </c>
      <c r="B1202" s="38">
        <v>999881990567316</v>
      </c>
      <c r="C1202" s="36" t="s">
        <v>43</v>
      </c>
      <c r="D1202" s="36" t="s">
        <v>10</v>
      </c>
      <c r="E1202" s="36" t="s">
        <v>3199</v>
      </c>
      <c r="F1202" s="36" t="s">
        <v>1144</v>
      </c>
      <c r="G1202" s="36" t="s">
        <v>1141</v>
      </c>
      <c r="H1202" s="36">
        <v>0</v>
      </c>
      <c r="I1202" s="37" t="s">
        <v>33</v>
      </c>
      <c r="J1202" t="str">
        <f>VLOOKUP(F1202,'[1]BASE DE DADOS'!$A:$C,3,0)</f>
        <v xml:space="preserve">Alex Junior Rodrigues dos santos </v>
      </c>
    </row>
    <row r="1203" spans="1:10" x14ac:dyDescent="0.25">
      <c r="A1203" s="36" t="s">
        <v>3200</v>
      </c>
      <c r="B1203" s="38">
        <v>999881991031295</v>
      </c>
      <c r="C1203" s="36" t="s">
        <v>40</v>
      </c>
      <c r="D1203" s="36" t="s">
        <v>10</v>
      </c>
      <c r="E1203" s="36" t="s">
        <v>3201</v>
      </c>
      <c r="F1203" s="36" t="s">
        <v>3202</v>
      </c>
      <c r="G1203" s="36" t="s">
        <v>1141</v>
      </c>
      <c r="H1203" s="36">
        <v>0</v>
      </c>
      <c r="I1203" s="37" t="s">
        <v>33</v>
      </c>
      <c r="J1203" t="str">
        <f>VLOOKUP(F1203,'[1]BASE DE DADOS'!$A:$C,3,0)</f>
        <v>Eduardo Carvalho Vieira dos Santos</v>
      </c>
    </row>
    <row r="1204" spans="1:10" x14ac:dyDescent="0.25">
      <c r="A1204" s="36" t="s">
        <v>3203</v>
      </c>
      <c r="B1204" s="38">
        <v>999881990535366</v>
      </c>
      <c r="C1204" s="36" t="s">
        <v>40</v>
      </c>
      <c r="D1204" s="36" t="s">
        <v>10</v>
      </c>
      <c r="E1204" s="36" t="s">
        <v>3204</v>
      </c>
      <c r="F1204" s="36" t="s">
        <v>1290</v>
      </c>
      <c r="G1204" s="36" t="s">
        <v>1141</v>
      </c>
      <c r="H1204" s="36">
        <v>0</v>
      </c>
      <c r="I1204" s="37" t="s">
        <v>33</v>
      </c>
      <c r="J1204" t="str">
        <f>VLOOKUP(F1204,'[1]BASE DE DADOS'!$A:$C,3,0)</f>
        <v>Eduardo Carvalho Vieira dos Santos</v>
      </c>
    </row>
    <row r="1205" spans="1:10" x14ac:dyDescent="0.25">
      <c r="A1205" s="36" t="s">
        <v>3205</v>
      </c>
      <c r="B1205" s="38">
        <v>999882057095583</v>
      </c>
      <c r="C1205" s="36" t="s">
        <v>40</v>
      </c>
      <c r="D1205" s="36" t="s">
        <v>10</v>
      </c>
      <c r="E1205" s="36" t="s">
        <v>3206</v>
      </c>
      <c r="F1205" s="36" t="s">
        <v>1309</v>
      </c>
      <c r="G1205" s="36" t="s">
        <v>1141</v>
      </c>
      <c r="H1205" s="36">
        <v>0</v>
      </c>
      <c r="I1205" s="37" t="s">
        <v>33</v>
      </c>
      <c r="J1205" t="str">
        <f>VLOOKUP(F1205,'[1]BASE DE DADOS'!$A:$C,3,0)</f>
        <v xml:space="preserve">Alex Junior Rodrigues dos santos </v>
      </c>
    </row>
    <row r="1206" spans="1:10" x14ac:dyDescent="0.25">
      <c r="A1206" s="36" t="s">
        <v>3207</v>
      </c>
      <c r="B1206" s="38">
        <v>999882035264818</v>
      </c>
      <c r="C1206" s="36" t="s">
        <v>43</v>
      </c>
      <c r="D1206" s="36" t="s">
        <v>10</v>
      </c>
      <c r="E1206" s="36" t="s">
        <v>3208</v>
      </c>
      <c r="F1206" s="36" t="s">
        <v>2147</v>
      </c>
      <c r="G1206" s="36" t="s">
        <v>1141</v>
      </c>
      <c r="H1206" s="36">
        <v>0</v>
      </c>
      <c r="I1206" s="37" t="s">
        <v>33</v>
      </c>
      <c r="J1206" t="str">
        <f>VLOOKUP(F1206,'[1]BASE DE DADOS'!$A:$C,3,0)</f>
        <v>Cleber Silvestre Almeida e Silva</v>
      </c>
    </row>
    <row r="1207" spans="1:10" x14ac:dyDescent="0.25">
      <c r="A1207" s="36" t="s">
        <v>3209</v>
      </c>
      <c r="B1207" s="38">
        <v>999882035728045</v>
      </c>
      <c r="C1207" s="36" t="s">
        <v>41</v>
      </c>
      <c r="D1207" s="36" t="s">
        <v>10</v>
      </c>
      <c r="E1207" s="36" t="s">
        <v>3210</v>
      </c>
      <c r="F1207" s="36" t="s">
        <v>3141</v>
      </c>
      <c r="G1207" s="36" t="s">
        <v>1141</v>
      </c>
      <c r="H1207" s="36">
        <v>0</v>
      </c>
      <c r="I1207" s="37" t="s">
        <v>33</v>
      </c>
      <c r="J1207" t="str">
        <f>VLOOKUP(F1207,'[1]BASE DE DADOS'!$A:$C,3,0)</f>
        <v>Hiago Vinicius Alves Dos Santos Silva</v>
      </c>
    </row>
    <row r="1208" spans="1:10" x14ac:dyDescent="0.25">
      <c r="A1208" s="36" t="s">
        <v>3211</v>
      </c>
      <c r="B1208" s="38">
        <v>999882042949703</v>
      </c>
      <c r="C1208" s="36" t="s">
        <v>40</v>
      </c>
      <c r="D1208" s="36" t="s">
        <v>10</v>
      </c>
      <c r="E1208" s="36" t="s">
        <v>3212</v>
      </c>
      <c r="F1208" s="36" t="s">
        <v>1144</v>
      </c>
      <c r="G1208" s="36" t="s">
        <v>1141</v>
      </c>
      <c r="H1208" s="36">
        <v>0</v>
      </c>
      <c r="I1208" s="37" t="s">
        <v>33</v>
      </c>
      <c r="J1208" t="str">
        <f>VLOOKUP(F1208,'[1]BASE DE DADOS'!$A:$C,3,0)</f>
        <v xml:space="preserve">Alex Junior Rodrigues dos santos </v>
      </c>
    </row>
    <row r="1209" spans="1:10" x14ac:dyDescent="0.25">
      <c r="A1209" s="36" t="s">
        <v>3213</v>
      </c>
      <c r="B1209" s="38">
        <v>999881985990750</v>
      </c>
      <c r="C1209" s="36" t="s">
        <v>40</v>
      </c>
      <c r="D1209" s="36" t="s">
        <v>10</v>
      </c>
      <c r="E1209" s="36" t="s">
        <v>3214</v>
      </c>
      <c r="F1209" s="36" t="s">
        <v>1625</v>
      </c>
      <c r="G1209" s="36" t="s">
        <v>1141</v>
      </c>
      <c r="H1209" s="36">
        <v>0</v>
      </c>
      <c r="I1209" s="37" t="s">
        <v>33</v>
      </c>
      <c r="J1209" t="str">
        <f>VLOOKUP(F1209,'[1]BASE DE DADOS'!$A:$C,3,0)</f>
        <v>Eduardo Carvalho Vieira dos Santos</v>
      </c>
    </row>
    <row r="1210" spans="1:10" x14ac:dyDescent="0.25">
      <c r="A1210" s="36" t="s">
        <v>3215</v>
      </c>
      <c r="B1210" s="38">
        <v>999882059464671</v>
      </c>
      <c r="C1210" s="36" t="s">
        <v>40</v>
      </c>
      <c r="D1210" s="36" t="s">
        <v>10</v>
      </c>
      <c r="E1210" s="36" t="s">
        <v>3216</v>
      </c>
      <c r="F1210" s="36" t="s">
        <v>1270</v>
      </c>
      <c r="G1210" s="36" t="s">
        <v>1141</v>
      </c>
      <c r="H1210" s="36">
        <v>0</v>
      </c>
      <c r="I1210" s="37" t="s">
        <v>33</v>
      </c>
      <c r="J1210" t="str">
        <f>VLOOKUP(F1210,'[1]BASE DE DADOS'!$A:$C,3,0)</f>
        <v xml:space="preserve">Alex Junior Rodrigues dos santos </v>
      </c>
    </row>
    <row r="1211" spans="1:10" x14ac:dyDescent="0.25">
      <c r="A1211" s="36" t="s">
        <v>3217</v>
      </c>
      <c r="B1211" s="38">
        <v>999881920271830</v>
      </c>
      <c r="C1211" s="36" t="s">
        <v>43</v>
      </c>
      <c r="D1211" s="36" t="s">
        <v>10</v>
      </c>
      <c r="E1211" s="36" t="s">
        <v>3218</v>
      </c>
      <c r="F1211" s="36" t="s">
        <v>1384</v>
      </c>
      <c r="G1211" s="36" t="s">
        <v>1141</v>
      </c>
      <c r="H1211" s="36">
        <v>0</v>
      </c>
      <c r="I1211" s="37" t="s">
        <v>33</v>
      </c>
      <c r="J1211" t="str">
        <f>VLOOKUP(F1211,'[1]BASE DE DADOS'!$A:$C,3,0)</f>
        <v xml:space="preserve">Alex Junior Rodrigues dos santos </v>
      </c>
    </row>
    <row r="1212" spans="1:10" x14ac:dyDescent="0.25">
      <c r="A1212" s="36" t="s">
        <v>3219</v>
      </c>
      <c r="B1212" s="38">
        <v>999881970124028</v>
      </c>
      <c r="C1212" s="36" t="s">
        <v>42</v>
      </c>
      <c r="D1212" s="36" t="s">
        <v>10</v>
      </c>
      <c r="E1212" s="36" t="s">
        <v>3220</v>
      </c>
      <c r="F1212" s="36" t="s">
        <v>1184</v>
      </c>
      <c r="G1212" s="36" t="s">
        <v>1141</v>
      </c>
      <c r="H1212" s="36">
        <v>0</v>
      </c>
      <c r="I1212" s="37" t="s">
        <v>33</v>
      </c>
      <c r="J1212" t="str">
        <f>VLOOKUP(F1212,'[1]BASE DE DADOS'!$A:$C,3,0)</f>
        <v>Cleber Silvestre Almeida e Silva</v>
      </c>
    </row>
    <row r="1213" spans="1:10" x14ac:dyDescent="0.25">
      <c r="A1213" s="36" t="s">
        <v>3221</v>
      </c>
      <c r="B1213" s="38">
        <v>999881998616985</v>
      </c>
      <c r="C1213" s="36" t="s">
        <v>41</v>
      </c>
      <c r="D1213" s="36" t="s">
        <v>10</v>
      </c>
      <c r="E1213" s="36" t="s">
        <v>3222</v>
      </c>
      <c r="F1213" s="36" t="s">
        <v>1151</v>
      </c>
      <c r="G1213" s="36" t="s">
        <v>1141</v>
      </c>
      <c r="H1213" s="36">
        <v>0</v>
      </c>
      <c r="I1213" s="37" t="s">
        <v>33</v>
      </c>
      <c r="J1213" t="str">
        <f>VLOOKUP(F1213,'[1]BASE DE DADOS'!$A:$C,3,0)</f>
        <v>Hiago Vinicius Alves Dos Santos Silva</v>
      </c>
    </row>
    <row r="1214" spans="1:10" x14ac:dyDescent="0.25">
      <c r="A1214" s="36" t="s">
        <v>3223</v>
      </c>
      <c r="B1214" s="38">
        <v>999882010093732</v>
      </c>
      <c r="C1214" s="36" t="s">
        <v>41</v>
      </c>
      <c r="D1214" s="36" t="s">
        <v>10</v>
      </c>
      <c r="E1214" s="36" t="s">
        <v>3224</v>
      </c>
      <c r="F1214" s="36" t="s">
        <v>1151</v>
      </c>
      <c r="G1214" s="36" t="s">
        <v>1141</v>
      </c>
      <c r="H1214" s="36">
        <v>0</v>
      </c>
      <c r="I1214" s="37" t="s">
        <v>33</v>
      </c>
      <c r="J1214" t="str">
        <f>VLOOKUP(F1214,'[1]BASE DE DADOS'!$A:$C,3,0)</f>
        <v>Hiago Vinicius Alves Dos Santos Silva</v>
      </c>
    </row>
    <row r="1215" spans="1:10" x14ac:dyDescent="0.25">
      <c r="A1215" s="36" t="s">
        <v>3225</v>
      </c>
      <c r="B1215" s="38">
        <v>999882011441101</v>
      </c>
      <c r="C1215" s="36" t="s">
        <v>43</v>
      </c>
      <c r="D1215" s="36" t="s">
        <v>10</v>
      </c>
      <c r="E1215" s="36" t="s">
        <v>3226</v>
      </c>
      <c r="F1215" s="36" t="s">
        <v>1225</v>
      </c>
      <c r="G1215" s="36" t="s">
        <v>1141</v>
      </c>
      <c r="H1215" s="36">
        <v>0</v>
      </c>
      <c r="I1215" s="37" t="s">
        <v>33</v>
      </c>
      <c r="J1215" t="str">
        <f>VLOOKUP(F1215,'[1]BASE DE DADOS'!$A:$C,3,0)</f>
        <v>Eduardo Carvalho Vieira dos Santos</v>
      </c>
    </row>
    <row r="1216" spans="1:10" x14ac:dyDescent="0.25">
      <c r="A1216" s="36" t="s">
        <v>3227</v>
      </c>
      <c r="B1216" s="38">
        <v>999882038937424</v>
      </c>
      <c r="C1216" s="36" t="s">
        <v>40</v>
      </c>
      <c r="D1216" s="36" t="s">
        <v>10</v>
      </c>
      <c r="E1216" s="36" t="s">
        <v>3228</v>
      </c>
      <c r="F1216" s="36" t="s">
        <v>1158</v>
      </c>
      <c r="G1216" s="36" t="s">
        <v>1141</v>
      </c>
      <c r="H1216" s="36">
        <v>0</v>
      </c>
      <c r="I1216" s="37" t="s">
        <v>33</v>
      </c>
      <c r="J1216" t="str">
        <f>VLOOKUP(F1216,'[1]BASE DE DADOS'!$A:$C,3,0)</f>
        <v>Cleber Silvestre Almeida e Silva</v>
      </c>
    </row>
    <row r="1217" spans="1:10" x14ac:dyDescent="0.25">
      <c r="A1217" s="36" t="s">
        <v>3229</v>
      </c>
      <c r="B1217" s="38">
        <v>999881997354011</v>
      </c>
      <c r="C1217" s="36" t="s">
        <v>43</v>
      </c>
      <c r="D1217" s="36" t="s">
        <v>10</v>
      </c>
      <c r="E1217" s="36" t="s">
        <v>3230</v>
      </c>
      <c r="F1217" s="36" t="s">
        <v>1843</v>
      </c>
      <c r="G1217" s="36" t="s">
        <v>1141</v>
      </c>
      <c r="H1217" s="36">
        <v>0</v>
      </c>
      <c r="I1217" s="37" t="s">
        <v>33</v>
      </c>
      <c r="J1217" t="s">
        <v>3280</v>
      </c>
    </row>
    <row r="1218" spans="1:10" x14ac:dyDescent="0.25">
      <c r="A1218" s="36" t="s">
        <v>3231</v>
      </c>
      <c r="B1218" s="38">
        <v>999881914380522</v>
      </c>
      <c r="C1218" s="36" t="s">
        <v>40</v>
      </c>
      <c r="D1218" s="36" t="s">
        <v>10</v>
      </c>
      <c r="E1218" s="36" t="s">
        <v>3232</v>
      </c>
      <c r="F1218" s="36" t="s">
        <v>1820</v>
      </c>
      <c r="G1218" s="36" t="s">
        <v>1141</v>
      </c>
      <c r="H1218" s="36">
        <v>0</v>
      </c>
      <c r="I1218" s="37" t="s">
        <v>33</v>
      </c>
      <c r="J1218" t="str">
        <f>VLOOKUP(F1218,'[1]BASE DE DADOS'!$A:$C,3,0)</f>
        <v>Eduardo Carvalho Vieira dos Santos</v>
      </c>
    </row>
    <row r="1219" spans="1:10" x14ac:dyDescent="0.25">
      <c r="A1219" s="36" t="s">
        <v>3233</v>
      </c>
      <c r="B1219" s="38">
        <v>999881914163526</v>
      </c>
      <c r="C1219" s="36" t="s">
        <v>43</v>
      </c>
      <c r="D1219" s="36" t="s">
        <v>10</v>
      </c>
      <c r="E1219" s="36" t="s">
        <v>3234</v>
      </c>
      <c r="F1219" s="36" t="s">
        <v>1266</v>
      </c>
      <c r="G1219" s="36" t="s">
        <v>1141</v>
      </c>
      <c r="H1219" s="36">
        <v>0</v>
      </c>
      <c r="I1219" s="37" t="s">
        <v>33</v>
      </c>
      <c r="J1219" t="str">
        <f>VLOOKUP(F1219,'[1]BASE DE DADOS'!$A:$C,3,0)</f>
        <v>Eduardo Carvalho Vieira dos Santos</v>
      </c>
    </row>
    <row r="1220" spans="1:10" x14ac:dyDescent="0.25">
      <c r="A1220" s="36" t="s">
        <v>3235</v>
      </c>
      <c r="B1220" s="38">
        <v>999882015473723</v>
      </c>
      <c r="C1220" s="36" t="s">
        <v>43</v>
      </c>
      <c r="D1220" s="36" t="s">
        <v>10</v>
      </c>
      <c r="E1220" s="36" t="s">
        <v>3236</v>
      </c>
      <c r="F1220" s="36" t="s">
        <v>1843</v>
      </c>
      <c r="G1220" s="36" t="s">
        <v>1141</v>
      </c>
      <c r="H1220" s="36">
        <v>0</v>
      </c>
      <c r="I1220" s="37" t="s">
        <v>33</v>
      </c>
      <c r="J1220" t="s">
        <v>3280</v>
      </c>
    </row>
    <row r="1221" spans="1:10" x14ac:dyDescent="0.25">
      <c r="A1221" s="36" t="s">
        <v>3237</v>
      </c>
      <c r="B1221" s="38">
        <v>999881941014009</v>
      </c>
      <c r="C1221" s="36" t="s">
        <v>43</v>
      </c>
      <c r="D1221" s="36" t="s">
        <v>10</v>
      </c>
      <c r="E1221" s="36" t="s">
        <v>3238</v>
      </c>
      <c r="F1221" s="36" t="s">
        <v>1562</v>
      </c>
      <c r="G1221" s="36" t="s">
        <v>1141</v>
      </c>
      <c r="H1221" s="36">
        <v>0</v>
      </c>
      <c r="I1221" s="37" t="s">
        <v>33</v>
      </c>
      <c r="J1221" t="str">
        <f>VLOOKUP(F1221,'[1]BASE DE DADOS'!$A:$C,3,0)</f>
        <v>Eduardo Carvalho Vieira dos Santos</v>
      </c>
    </row>
    <row r="1222" spans="1:10" x14ac:dyDescent="0.25">
      <c r="A1222" s="36" t="s">
        <v>3239</v>
      </c>
      <c r="B1222" s="38">
        <v>999882014651354</v>
      </c>
      <c r="C1222" s="36" t="s">
        <v>43</v>
      </c>
      <c r="D1222" s="36" t="s">
        <v>10</v>
      </c>
      <c r="E1222" s="36" t="s">
        <v>3240</v>
      </c>
      <c r="F1222" s="36" t="s">
        <v>1243</v>
      </c>
      <c r="G1222" s="36" t="s">
        <v>1141</v>
      </c>
      <c r="H1222" s="36">
        <v>0</v>
      </c>
      <c r="I1222" s="37" t="s">
        <v>33</v>
      </c>
      <c r="J1222" t="str">
        <f>VLOOKUP(F1222,'[1]BASE DE DADOS'!$A:$C,3,0)</f>
        <v>Eduardo Carvalho Vieira dos Santos</v>
      </c>
    </row>
    <row r="1223" spans="1:10" x14ac:dyDescent="0.25">
      <c r="A1223" s="36" t="s">
        <v>3241</v>
      </c>
      <c r="B1223" s="38">
        <v>999882056316167</v>
      </c>
      <c r="C1223" s="36" t="s">
        <v>40</v>
      </c>
      <c r="D1223" s="36" t="s">
        <v>10</v>
      </c>
      <c r="E1223" s="36" t="s">
        <v>3242</v>
      </c>
      <c r="F1223" s="36" t="s">
        <v>3008</v>
      </c>
      <c r="G1223" s="36" t="s">
        <v>1141</v>
      </c>
      <c r="H1223" s="36">
        <v>0</v>
      </c>
      <c r="I1223" s="37" t="s">
        <v>33</v>
      </c>
      <c r="J1223" t="str">
        <f>VLOOKUP(F1223,'[1]BASE DE DADOS'!$A:$C,3,0)</f>
        <v>Cleber Silvestre Almeida e Silva</v>
      </c>
    </row>
    <row r="1224" spans="1:10" x14ac:dyDescent="0.25">
      <c r="A1224" s="36" t="s">
        <v>3243</v>
      </c>
      <c r="B1224" s="38">
        <v>999882047796452</v>
      </c>
      <c r="C1224" s="36" t="s">
        <v>40</v>
      </c>
      <c r="D1224" s="36" t="s">
        <v>10</v>
      </c>
      <c r="E1224" s="36" t="s">
        <v>3244</v>
      </c>
      <c r="F1224" s="36" t="s">
        <v>1503</v>
      </c>
      <c r="G1224" s="36" t="s">
        <v>1141</v>
      </c>
      <c r="H1224" s="36">
        <v>0</v>
      </c>
      <c r="I1224" s="37" t="s">
        <v>33</v>
      </c>
      <c r="J1224" t="str">
        <f>VLOOKUP(F1224,'[1]BASE DE DADOS'!$A:$C,3,0)</f>
        <v>Cleber Silvestre Almeida e Silva</v>
      </c>
    </row>
    <row r="1225" spans="1:10" x14ac:dyDescent="0.25">
      <c r="A1225" s="36" t="s">
        <v>3245</v>
      </c>
      <c r="B1225" s="38">
        <v>999881983387589</v>
      </c>
      <c r="C1225" s="36" t="s">
        <v>43</v>
      </c>
      <c r="D1225" s="36" t="s">
        <v>10</v>
      </c>
      <c r="E1225" s="36" t="s">
        <v>3246</v>
      </c>
      <c r="F1225" s="36" t="s">
        <v>1232</v>
      </c>
      <c r="G1225" s="36" t="s">
        <v>1141</v>
      </c>
      <c r="H1225" s="36">
        <v>0</v>
      </c>
      <c r="I1225" s="37" t="s">
        <v>33</v>
      </c>
      <c r="J1225" t="str">
        <f>VLOOKUP(F1225,'[1]BASE DE DADOS'!$A:$C,3,0)</f>
        <v>Eduardo Carvalho Vieira dos Santos</v>
      </c>
    </row>
    <row r="1226" spans="1:10" x14ac:dyDescent="0.25">
      <c r="A1226" s="36" t="s">
        <v>3247</v>
      </c>
      <c r="B1226" s="38">
        <v>999882011867889</v>
      </c>
      <c r="C1226" s="36" t="s">
        <v>43</v>
      </c>
      <c r="D1226" s="36" t="s">
        <v>10</v>
      </c>
      <c r="E1226" s="36" t="s">
        <v>3248</v>
      </c>
      <c r="F1226" s="36" t="s">
        <v>2934</v>
      </c>
      <c r="G1226" s="36" t="s">
        <v>1141</v>
      </c>
      <c r="H1226" s="36">
        <v>0</v>
      </c>
      <c r="I1226" s="37" t="s">
        <v>33</v>
      </c>
      <c r="J1226" t="str">
        <f>VLOOKUP(F1226,'[1]BASE DE DADOS'!$A:$C,3,0)</f>
        <v xml:space="preserve">Alex Junior Rodrigues dos santos </v>
      </c>
    </row>
    <row r="1227" spans="1:10" x14ac:dyDescent="0.25">
      <c r="A1227" s="36" t="s">
        <v>3249</v>
      </c>
      <c r="B1227" s="38">
        <v>999882049141984</v>
      </c>
      <c r="C1227" s="36" t="s">
        <v>40</v>
      </c>
      <c r="D1227" s="36" t="s">
        <v>10</v>
      </c>
      <c r="E1227" s="36" t="s">
        <v>3250</v>
      </c>
      <c r="F1227" s="36" t="s">
        <v>3251</v>
      </c>
      <c r="G1227" s="36" t="s">
        <v>1141</v>
      </c>
      <c r="H1227" s="36">
        <v>0</v>
      </c>
      <c r="I1227" s="37" t="s">
        <v>33</v>
      </c>
      <c r="J1227" t="str">
        <f>VLOOKUP(F1227,'[1]BASE DE DADOS'!$A:$C,3,0)</f>
        <v xml:space="preserve">Alex Junior Rodrigues dos santos </v>
      </c>
    </row>
    <row r="1228" spans="1:10" x14ac:dyDescent="0.25">
      <c r="A1228" s="36" t="s">
        <v>3252</v>
      </c>
      <c r="B1228" s="38">
        <v>999882008454113</v>
      </c>
      <c r="C1228" s="36" t="s">
        <v>43</v>
      </c>
      <c r="D1228" s="36" t="s">
        <v>10</v>
      </c>
      <c r="E1228" s="36" t="s">
        <v>3253</v>
      </c>
      <c r="F1228" s="36" t="s">
        <v>1144</v>
      </c>
      <c r="G1228" s="36" t="s">
        <v>1141</v>
      </c>
      <c r="H1228" s="36">
        <v>0</v>
      </c>
      <c r="I1228" s="37" t="s">
        <v>33</v>
      </c>
      <c r="J1228" t="str">
        <f>VLOOKUP(F1228,'[1]BASE DE DADOS'!$A:$C,3,0)</f>
        <v xml:space="preserve">Alex Junior Rodrigues dos santos </v>
      </c>
    </row>
    <row r="1229" spans="1:10" x14ac:dyDescent="0.25">
      <c r="A1229" s="36" t="s">
        <v>3254</v>
      </c>
      <c r="B1229" s="38">
        <v>999882032382103</v>
      </c>
      <c r="C1229" s="36" t="s">
        <v>43</v>
      </c>
      <c r="D1229" s="36" t="s">
        <v>10</v>
      </c>
      <c r="E1229" s="36" t="s">
        <v>3255</v>
      </c>
      <c r="F1229" s="36" t="s">
        <v>2581</v>
      </c>
      <c r="G1229" s="36" t="s">
        <v>1141</v>
      </c>
      <c r="H1229" s="36">
        <v>0</v>
      </c>
      <c r="I1229" s="37" t="s">
        <v>33</v>
      </c>
      <c r="J1229" t="str">
        <f>VLOOKUP(F1229,'[1]BASE DE DADOS'!$A:$C,3,0)</f>
        <v xml:space="preserve">Alex Junior Rodrigues dos santos </v>
      </c>
    </row>
    <row r="1230" spans="1:10" x14ac:dyDescent="0.25">
      <c r="A1230" s="36" t="s">
        <v>3256</v>
      </c>
      <c r="B1230" s="38">
        <v>999882031624690</v>
      </c>
      <c r="C1230" s="36" t="s">
        <v>43</v>
      </c>
      <c r="D1230" s="36" t="s">
        <v>10</v>
      </c>
      <c r="E1230" s="36" t="s">
        <v>3257</v>
      </c>
      <c r="F1230" s="36" t="s">
        <v>1594</v>
      </c>
      <c r="G1230" s="36" t="s">
        <v>1141</v>
      </c>
      <c r="H1230" s="36">
        <v>0</v>
      </c>
      <c r="I1230" s="37" t="s">
        <v>33</v>
      </c>
      <c r="J1230" t="str">
        <f>VLOOKUP(F1230,'[1]BASE DE DADOS'!$A:$C,3,0)</f>
        <v xml:space="preserve">Alex Junior Rodrigues dos santos </v>
      </c>
    </row>
    <row r="1231" spans="1:10" x14ac:dyDescent="0.25">
      <c r="A1231" s="36" t="s">
        <v>3258</v>
      </c>
      <c r="B1231" s="38">
        <v>999882000496526</v>
      </c>
      <c r="C1231" s="36" t="s">
        <v>43</v>
      </c>
      <c r="D1231" s="36" t="s">
        <v>10</v>
      </c>
      <c r="E1231" s="36" t="s">
        <v>3259</v>
      </c>
      <c r="F1231" s="36" t="s">
        <v>1270</v>
      </c>
      <c r="G1231" s="36" t="s">
        <v>1141</v>
      </c>
      <c r="H1231" s="36">
        <v>0</v>
      </c>
      <c r="I1231" s="37" t="s">
        <v>33</v>
      </c>
      <c r="J1231" t="str">
        <f>VLOOKUP(F1231,'[1]BASE DE DADOS'!$A:$C,3,0)</f>
        <v xml:space="preserve">Alex Junior Rodrigues dos santos </v>
      </c>
    </row>
    <row r="1232" spans="1:10" x14ac:dyDescent="0.25">
      <c r="A1232" s="36" t="s">
        <v>3260</v>
      </c>
      <c r="B1232" s="38">
        <v>999882003198332</v>
      </c>
      <c r="C1232" s="36" t="s">
        <v>43</v>
      </c>
      <c r="D1232" s="36" t="s">
        <v>10</v>
      </c>
      <c r="E1232" s="36" t="s">
        <v>3261</v>
      </c>
      <c r="F1232" s="36" t="s">
        <v>1408</v>
      </c>
      <c r="G1232" s="36" t="s">
        <v>1141</v>
      </c>
      <c r="H1232" s="36">
        <v>0</v>
      </c>
      <c r="I1232" s="37" t="s">
        <v>33</v>
      </c>
      <c r="J1232" t="str">
        <f>VLOOKUP(F1232,'[1]BASE DE DADOS'!$A:$C,3,0)</f>
        <v>Hiago Vinicius Alves Dos Santos Silva</v>
      </c>
    </row>
    <row r="1233" spans="1:10" x14ac:dyDescent="0.25">
      <c r="A1233" s="36" t="s">
        <v>3262</v>
      </c>
      <c r="B1233" s="38">
        <v>999881961111823</v>
      </c>
      <c r="C1233" s="36" t="s">
        <v>43</v>
      </c>
      <c r="D1233" s="36" t="s">
        <v>10</v>
      </c>
      <c r="E1233" s="36" t="s">
        <v>3263</v>
      </c>
      <c r="F1233" s="36" t="s">
        <v>1225</v>
      </c>
      <c r="G1233" s="36" t="s">
        <v>1141</v>
      </c>
      <c r="H1233" s="36">
        <v>0</v>
      </c>
      <c r="I1233" s="37" t="s">
        <v>33</v>
      </c>
      <c r="J1233" t="str">
        <f>VLOOKUP(F1233,'[1]BASE DE DADOS'!$A:$C,3,0)</f>
        <v>Eduardo Carvalho Vieira dos Santos</v>
      </c>
    </row>
    <row r="1234" spans="1:10" x14ac:dyDescent="0.25">
      <c r="A1234" s="36" t="s">
        <v>3264</v>
      </c>
      <c r="B1234" s="38">
        <v>999882025819784</v>
      </c>
      <c r="C1234" s="36" t="s">
        <v>43</v>
      </c>
      <c r="D1234" s="36" t="s">
        <v>10</v>
      </c>
      <c r="E1234" s="36" t="s">
        <v>3265</v>
      </c>
      <c r="F1234" s="36" t="s">
        <v>1438</v>
      </c>
      <c r="G1234" s="36" t="s">
        <v>1141</v>
      </c>
      <c r="H1234" s="36">
        <v>0</v>
      </c>
      <c r="I1234" s="37" t="s">
        <v>33</v>
      </c>
      <c r="J1234" t="str">
        <f>VLOOKUP(F1234,'[1]BASE DE DADOS'!$A:$C,3,0)</f>
        <v xml:space="preserve">Alex Junior Rodrigues dos santos </v>
      </c>
    </row>
    <row r="1235" spans="1:10" x14ac:dyDescent="0.25">
      <c r="A1235" s="36" t="s">
        <v>3266</v>
      </c>
      <c r="B1235" s="38">
        <v>999881980339651</v>
      </c>
      <c r="C1235" s="36" t="s">
        <v>43</v>
      </c>
      <c r="D1235" s="36" t="s">
        <v>10</v>
      </c>
      <c r="E1235" s="36" t="s">
        <v>3267</v>
      </c>
      <c r="F1235" s="36" t="s">
        <v>1140</v>
      </c>
      <c r="G1235" s="36" t="s">
        <v>1141</v>
      </c>
      <c r="H1235" s="36">
        <v>0</v>
      </c>
      <c r="I1235" s="37" t="s">
        <v>33</v>
      </c>
      <c r="J1235" t="str">
        <f>VLOOKUP(F1235,'[1]BASE DE DADOS'!$A:$C,3,0)</f>
        <v xml:space="preserve">Alex Junior Rodrigues dos santos </v>
      </c>
    </row>
    <row r="1236" spans="1:10" x14ac:dyDescent="0.25">
      <c r="A1236" s="36" t="s">
        <v>3268</v>
      </c>
      <c r="B1236" s="38">
        <v>999882010530846</v>
      </c>
      <c r="C1236" s="36" t="s">
        <v>40</v>
      </c>
      <c r="D1236" s="36" t="s">
        <v>10</v>
      </c>
      <c r="E1236" s="36" t="s">
        <v>3269</v>
      </c>
      <c r="F1236" s="36" t="s">
        <v>1200</v>
      </c>
      <c r="G1236" s="36" t="s">
        <v>1141</v>
      </c>
      <c r="H1236" s="36">
        <v>0</v>
      </c>
      <c r="I1236" s="37" t="s">
        <v>33</v>
      </c>
      <c r="J1236" t="str">
        <f>VLOOKUP(F1236,'[1]BASE DE DADOS'!$A:$C,3,0)</f>
        <v>Cleber Silvestre Almeida e Silva</v>
      </c>
    </row>
    <row r="1237" spans="1:10" x14ac:dyDescent="0.25">
      <c r="A1237" s="36" t="s">
        <v>3270</v>
      </c>
      <c r="B1237" s="38">
        <v>999882008765283</v>
      </c>
      <c r="C1237" s="36" t="s">
        <v>43</v>
      </c>
      <c r="D1237" s="36" t="s">
        <v>10</v>
      </c>
      <c r="E1237" s="36" t="s">
        <v>3271</v>
      </c>
      <c r="F1237" s="36" t="s">
        <v>1221</v>
      </c>
      <c r="G1237" s="36" t="s">
        <v>1141</v>
      </c>
      <c r="H1237" s="36">
        <v>0</v>
      </c>
      <c r="I1237" s="37" t="s">
        <v>33</v>
      </c>
      <c r="J1237" t="str">
        <f>VLOOKUP(F1237,'[1]BASE DE DADOS'!$A:$C,3,0)</f>
        <v>Cleber Silvestre Almeida e Silva</v>
      </c>
    </row>
    <row r="1238" spans="1:10" x14ac:dyDescent="0.25">
      <c r="A1238" s="36" t="s">
        <v>3272</v>
      </c>
      <c r="B1238" s="38">
        <v>999882030310715</v>
      </c>
      <c r="C1238" s="36" t="s">
        <v>40</v>
      </c>
      <c r="D1238" s="36" t="s">
        <v>10</v>
      </c>
      <c r="E1238" s="36" t="s">
        <v>3273</v>
      </c>
      <c r="F1238" s="36" t="s">
        <v>1323</v>
      </c>
      <c r="G1238" s="36" t="s">
        <v>1141</v>
      </c>
      <c r="H1238" s="36">
        <v>0</v>
      </c>
      <c r="I1238" s="37" t="s">
        <v>33</v>
      </c>
      <c r="J1238" t="str">
        <f>VLOOKUP(F1238,'[1]BASE DE DADOS'!$A:$C,3,0)</f>
        <v>Cleber Silvestre Almeida e Silva</v>
      </c>
    </row>
    <row r="1239" spans="1:10" x14ac:dyDescent="0.25">
      <c r="A1239" s="36" t="s">
        <v>3274</v>
      </c>
      <c r="B1239" s="38">
        <v>999882048139563</v>
      </c>
      <c r="C1239" s="36" t="s">
        <v>40</v>
      </c>
      <c r="D1239" s="36" t="s">
        <v>10</v>
      </c>
      <c r="E1239" s="36" t="s">
        <v>3275</v>
      </c>
      <c r="F1239" s="36" t="s">
        <v>2864</v>
      </c>
      <c r="G1239" s="36" t="s">
        <v>1141</v>
      </c>
      <c r="H1239" s="36">
        <v>0</v>
      </c>
      <c r="I1239" s="37" t="s">
        <v>33</v>
      </c>
      <c r="J1239" t="str">
        <f>VLOOKUP(F1239,'[1]BASE DE DADOS'!$A:$C,3,0)</f>
        <v xml:space="preserve">Alex Junior Rodrigues dos santos </v>
      </c>
    </row>
    <row r="1240" spans="1:10" x14ac:dyDescent="0.25">
      <c r="A1240" s="36" t="s">
        <v>3276</v>
      </c>
      <c r="B1240" s="38">
        <v>999882010613321</v>
      </c>
      <c r="C1240" s="36" t="s">
        <v>40</v>
      </c>
      <c r="D1240" s="36" t="s">
        <v>10</v>
      </c>
      <c r="E1240" s="36" t="s">
        <v>3277</v>
      </c>
      <c r="F1240" s="36" t="s">
        <v>1236</v>
      </c>
      <c r="G1240" s="36" t="s">
        <v>1141</v>
      </c>
      <c r="H1240" s="36">
        <v>0</v>
      </c>
      <c r="I1240" s="37" t="s">
        <v>33</v>
      </c>
      <c r="J1240" t="str">
        <f>VLOOKUP(F1240,'[1]BASE DE DADOS'!$A:$C,3,0)</f>
        <v>Eduardo Carvalho Vieira dos Santos</v>
      </c>
    </row>
    <row r="1241" spans="1:10" x14ac:dyDescent="0.25">
      <c r="A1241" s="36" t="s">
        <v>3278</v>
      </c>
      <c r="B1241" s="38">
        <v>999881972622135</v>
      </c>
      <c r="C1241" s="36" t="s">
        <v>40</v>
      </c>
      <c r="D1241" s="36" t="s">
        <v>10</v>
      </c>
      <c r="E1241" s="36" t="s">
        <v>3279</v>
      </c>
      <c r="F1241" s="36" t="s">
        <v>1955</v>
      </c>
      <c r="G1241" s="36" t="s">
        <v>1141</v>
      </c>
      <c r="H1241" s="36">
        <v>0</v>
      </c>
      <c r="I1241" s="37" t="s">
        <v>33</v>
      </c>
      <c r="J1241" t="str">
        <f>VLOOKUP(F1241,'[1]BASE DE DADOS'!$A:$C,3,0)</f>
        <v xml:space="preserve">Alex Junior Rodrigues dos santos </v>
      </c>
    </row>
    <row r="1242" spans="1:10" x14ac:dyDescent="0.25">
      <c r="A1242" s="17"/>
      <c r="B1242" s="20"/>
      <c r="C1242" s="18"/>
      <c r="D1242" s="18"/>
      <c r="E1242" s="18"/>
      <c r="F1242" s="18"/>
      <c r="G1242" s="18"/>
      <c r="H1242" s="18"/>
      <c r="I1242" s="19"/>
    </row>
    <row r="1243" spans="1:10" x14ac:dyDescent="0.25">
      <c r="A1243" s="14"/>
      <c r="B1243" s="21"/>
      <c r="C1243" s="15"/>
      <c r="D1243" s="15"/>
      <c r="E1243" s="15"/>
      <c r="F1243" s="15"/>
      <c r="G1243" s="15"/>
      <c r="H1243" s="15"/>
      <c r="I1243" s="16"/>
    </row>
    <row r="1244" spans="1:10" x14ac:dyDescent="0.25">
      <c r="A1244" s="17"/>
      <c r="B1244" s="20"/>
      <c r="C1244" s="18"/>
      <c r="D1244" s="18"/>
      <c r="E1244" s="18"/>
      <c r="F1244" s="18"/>
      <c r="G1244" s="18"/>
      <c r="H1244" s="18"/>
      <c r="I1244" s="19"/>
    </row>
    <row r="1245" spans="1:10" x14ac:dyDescent="0.25">
      <c r="A1245" s="14"/>
      <c r="B1245" s="15"/>
      <c r="C1245" s="15"/>
      <c r="D1245" s="15"/>
      <c r="E1245" s="15"/>
      <c r="F1245" s="15"/>
      <c r="G1245" s="15"/>
      <c r="H1245" s="15"/>
      <c r="I1245" s="16"/>
    </row>
    <row r="1246" spans="1:10" x14ac:dyDescent="0.25">
      <c r="A1246" s="17"/>
      <c r="B1246" s="20"/>
      <c r="C1246" s="18"/>
      <c r="D1246" s="18"/>
      <c r="E1246" s="18"/>
      <c r="F1246" s="18"/>
      <c r="G1246" s="18"/>
      <c r="H1246" s="18"/>
      <c r="I1246" s="19"/>
    </row>
    <row r="1247" spans="1:10" x14ac:dyDescent="0.25">
      <c r="A1247" s="14"/>
      <c r="B1247" s="15"/>
      <c r="C1247" s="15"/>
      <c r="D1247" s="15"/>
      <c r="E1247" s="15"/>
      <c r="F1247" s="15"/>
      <c r="G1247" s="15"/>
      <c r="H1247" s="15"/>
      <c r="I1247" s="16"/>
    </row>
    <row r="1248" spans="1:10" x14ac:dyDescent="0.25">
      <c r="A1248" s="17"/>
      <c r="B1248" s="20"/>
      <c r="C1248" s="18"/>
      <c r="D1248" s="18"/>
      <c r="E1248" s="18"/>
      <c r="F1248" s="18"/>
      <c r="G1248" s="18"/>
      <c r="H1248" s="18"/>
      <c r="I1248" s="19"/>
    </row>
    <row r="1249" spans="1:9" x14ac:dyDescent="0.25">
      <c r="A1249" s="14"/>
      <c r="B1249" s="21"/>
      <c r="C1249" s="15"/>
      <c r="D1249" s="15"/>
      <c r="E1249" s="15"/>
      <c r="F1249" s="15"/>
      <c r="G1249" s="15"/>
      <c r="H1249" s="15"/>
      <c r="I1249" s="16"/>
    </row>
    <row r="1250" spans="1:9" x14ac:dyDescent="0.25">
      <c r="A1250" s="17"/>
      <c r="B1250" s="20"/>
      <c r="C1250" s="18"/>
      <c r="D1250" s="18"/>
      <c r="E1250" s="18"/>
      <c r="F1250" s="18"/>
      <c r="G1250" s="18"/>
      <c r="H1250" s="18"/>
      <c r="I1250" s="19"/>
    </row>
    <row r="1251" spans="1:9" x14ac:dyDescent="0.25">
      <c r="A1251" s="14"/>
      <c r="B1251" s="21"/>
      <c r="C1251" s="15"/>
      <c r="D1251" s="15"/>
      <c r="E1251" s="15"/>
      <c r="F1251" s="15"/>
      <c r="G1251" s="15"/>
      <c r="H1251" s="15"/>
      <c r="I1251" s="16"/>
    </row>
    <row r="1252" spans="1:9" x14ac:dyDescent="0.25">
      <c r="A1252" s="17"/>
      <c r="B1252" s="20"/>
      <c r="C1252" s="18"/>
      <c r="D1252" s="18"/>
      <c r="E1252" s="18"/>
      <c r="F1252" s="18"/>
      <c r="G1252" s="18"/>
      <c r="H1252" s="18"/>
      <c r="I1252" s="19"/>
    </row>
    <row r="1253" spans="1:9" x14ac:dyDescent="0.25">
      <c r="A1253" s="14"/>
      <c r="B1253" s="21"/>
      <c r="C1253" s="15"/>
      <c r="D1253" s="15"/>
      <c r="E1253" s="15"/>
      <c r="F1253" s="15"/>
      <c r="G1253" s="15"/>
      <c r="H1253" s="15"/>
      <c r="I1253" s="16"/>
    </row>
    <row r="1254" spans="1:9" x14ac:dyDescent="0.25">
      <c r="A1254" s="17"/>
      <c r="B1254" s="20"/>
      <c r="C1254" s="18"/>
      <c r="D1254" s="18"/>
      <c r="E1254" s="18"/>
      <c r="F1254" s="18"/>
      <c r="G1254" s="18"/>
      <c r="H1254" s="18"/>
      <c r="I1254" s="19"/>
    </row>
    <row r="1255" spans="1:9" x14ac:dyDescent="0.25">
      <c r="A1255" s="14"/>
      <c r="B1255" s="21"/>
      <c r="C1255" s="15"/>
      <c r="D1255" s="15"/>
      <c r="E1255" s="15"/>
      <c r="F1255" s="15"/>
      <c r="G1255" s="15"/>
      <c r="H1255" s="15"/>
      <c r="I1255" s="16"/>
    </row>
    <row r="1256" spans="1:9" x14ac:dyDescent="0.25">
      <c r="A1256" s="17"/>
      <c r="B1256" s="20"/>
      <c r="C1256" s="18"/>
      <c r="D1256" s="18"/>
      <c r="E1256" s="18"/>
      <c r="F1256" s="18"/>
      <c r="G1256" s="18"/>
      <c r="H1256" s="18"/>
      <c r="I1256" s="19"/>
    </row>
    <row r="1257" spans="1:9" x14ac:dyDescent="0.25">
      <c r="A1257" s="14"/>
      <c r="B1257" s="21"/>
      <c r="C1257" s="15"/>
      <c r="D1257" s="15"/>
      <c r="E1257" s="15"/>
      <c r="F1257" s="15"/>
      <c r="G1257" s="15"/>
      <c r="H1257" s="15"/>
      <c r="I1257" s="16"/>
    </row>
    <row r="1258" spans="1:9" x14ac:dyDescent="0.25">
      <c r="A1258" s="17"/>
      <c r="B1258" s="20"/>
      <c r="C1258" s="18"/>
      <c r="D1258" s="18"/>
      <c r="E1258" s="18"/>
      <c r="F1258" s="18"/>
      <c r="G1258" s="18"/>
      <c r="H1258" s="18"/>
      <c r="I1258" s="19"/>
    </row>
    <row r="1259" spans="1:9" x14ac:dyDescent="0.25">
      <c r="A1259" s="14"/>
      <c r="B1259" s="21"/>
      <c r="C1259" s="15"/>
      <c r="D1259" s="15"/>
      <c r="E1259" s="15"/>
      <c r="F1259" s="15"/>
      <c r="G1259" s="15"/>
      <c r="H1259" s="15"/>
      <c r="I1259" s="16"/>
    </row>
    <row r="1260" spans="1:9" x14ac:dyDescent="0.25">
      <c r="A1260" s="17"/>
      <c r="B1260" s="18"/>
      <c r="C1260" s="18"/>
      <c r="D1260" s="18"/>
      <c r="E1260" s="18"/>
      <c r="F1260" s="18"/>
      <c r="G1260" s="18"/>
      <c r="H1260" s="18"/>
      <c r="I1260" s="19"/>
    </row>
    <row r="1261" spans="1:9" x14ac:dyDescent="0.25">
      <c r="A1261" s="14"/>
      <c r="B1261" s="15"/>
      <c r="C1261" s="15"/>
      <c r="D1261" s="15"/>
      <c r="E1261" s="15"/>
      <c r="F1261" s="15"/>
      <c r="G1261" s="15"/>
      <c r="H1261" s="15"/>
      <c r="I1261" s="16"/>
    </row>
    <row r="1262" spans="1:9" x14ac:dyDescent="0.25">
      <c r="A1262" s="22"/>
      <c r="B1262" s="23"/>
      <c r="C1262" s="23"/>
      <c r="D1262" s="23"/>
      <c r="E1262" s="23"/>
      <c r="F1262" s="23"/>
      <c r="G1262" s="23"/>
      <c r="H1262" s="23"/>
      <c r="I1262" s="24"/>
    </row>
  </sheetData>
  <conditionalFormatting sqref="B398:B400">
    <cfRule type="duplicateValues" dxfId="10" priority="3"/>
  </conditionalFormatting>
  <conditionalFormatting sqref="B1242:B1262">
    <cfRule type="duplicateValues" dxfId="8" priority="6"/>
  </conditionalFormatting>
  <conditionalFormatting sqref="B1260:B1262">
    <cfRule type="duplicateValues" dxfId="7" priority="7"/>
  </conditionalFormatting>
  <conditionalFormatting sqref="B1239:B1241">
    <cfRule type="duplicateValues" dxfId="6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2A59-499D-4F1F-9ED4-AEAF524C6025}">
  <dimension ref="A1:F78"/>
  <sheetViews>
    <sheetView workbookViewId="0">
      <selection activeCell="B9" sqref="B9"/>
    </sheetView>
  </sheetViews>
  <sheetFormatPr defaultRowHeight="15" x14ac:dyDescent="0.25"/>
  <cols>
    <col min="1" max="3" width="16.7109375" customWidth="1"/>
    <col min="4" max="4" width="13.28515625" customWidth="1"/>
    <col min="5" max="5" width="14.5703125" customWidth="1"/>
    <col min="6" max="6" width="17.5703125" customWidth="1"/>
  </cols>
  <sheetData>
    <row r="1" spans="1:6" ht="23.25" customHeight="1" x14ac:dyDescent="0.35">
      <c r="A1" s="43" t="s">
        <v>31</v>
      </c>
      <c r="B1" s="43"/>
      <c r="C1" s="43"/>
      <c r="D1" s="43"/>
      <c r="E1" s="43"/>
      <c r="F1" s="43"/>
    </row>
    <row r="2" spans="1:6" x14ac:dyDescent="0.25">
      <c r="A2" s="5" t="s">
        <v>143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</row>
    <row r="3" spans="1:6" x14ac:dyDescent="0.25">
      <c r="A3" s="5" t="s">
        <v>143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 spans="1:6" x14ac:dyDescent="0.25">
      <c r="A4" s="31" t="s">
        <v>144</v>
      </c>
      <c r="B4" s="33" t="s">
        <v>24</v>
      </c>
      <c r="C4" s="34">
        <v>0.18181818181818182</v>
      </c>
      <c r="D4" s="33">
        <v>22</v>
      </c>
      <c r="E4" s="33">
        <v>4</v>
      </c>
      <c r="F4" s="35">
        <v>18</v>
      </c>
    </row>
    <row r="5" spans="1:6" x14ac:dyDescent="0.25">
      <c r="A5" s="31" t="s">
        <v>144</v>
      </c>
      <c r="B5" s="33" t="s">
        <v>38</v>
      </c>
      <c r="C5" s="34">
        <v>0.47058823529411764</v>
      </c>
      <c r="D5" s="33">
        <v>17</v>
      </c>
      <c r="E5" s="33">
        <v>8</v>
      </c>
      <c r="F5" s="35">
        <v>9</v>
      </c>
    </row>
    <row r="6" spans="1:6" x14ac:dyDescent="0.25">
      <c r="A6" s="31" t="s">
        <v>148</v>
      </c>
      <c r="B6" s="33" t="s">
        <v>15</v>
      </c>
      <c r="C6" s="34">
        <v>0.125</v>
      </c>
      <c r="D6" s="33">
        <v>8</v>
      </c>
      <c r="E6" s="33">
        <v>1</v>
      </c>
      <c r="F6" s="35">
        <v>7</v>
      </c>
    </row>
    <row r="7" spans="1:6" x14ac:dyDescent="0.25">
      <c r="A7" s="31" t="s">
        <v>148</v>
      </c>
      <c r="B7" s="33" t="s">
        <v>34</v>
      </c>
      <c r="C7" s="34">
        <v>0.41666666666666669</v>
      </c>
      <c r="D7" s="33">
        <v>12</v>
      </c>
      <c r="E7" s="33">
        <v>5</v>
      </c>
      <c r="F7" s="35">
        <v>7</v>
      </c>
    </row>
    <row r="8" spans="1:6" x14ac:dyDescent="0.25">
      <c r="A8" s="31" t="s">
        <v>144</v>
      </c>
      <c r="B8" s="33" t="s">
        <v>64</v>
      </c>
      <c r="C8" s="34">
        <v>0.45454545454545453</v>
      </c>
      <c r="D8" s="33">
        <v>11</v>
      </c>
      <c r="E8" s="33">
        <v>5</v>
      </c>
      <c r="F8" s="35">
        <v>6</v>
      </c>
    </row>
    <row r="9" spans="1:6" x14ac:dyDescent="0.25">
      <c r="A9" s="31" t="s">
        <v>144</v>
      </c>
      <c r="B9" s="33" t="s">
        <v>27</v>
      </c>
      <c r="C9" s="34">
        <v>0.5</v>
      </c>
      <c r="D9" s="33">
        <v>10</v>
      </c>
      <c r="E9" s="33">
        <v>5</v>
      </c>
      <c r="F9" s="35">
        <v>5</v>
      </c>
    </row>
    <row r="10" spans="1:6" x14ac:dyDescent="0.25">
      <c r="A10" s="31" t="s">
        <v>144</v>
      </c>
      <c r="B10" s="33" t="s">
        <v>139</v>
      </c>
      <c r="C10" s="34">
        <v>0</v>
      </c>
      <c r="D10" s="33">
        <v>5</v>
      </c>
      <c r="E10" s="33">
        <v>0</v>
      </c>
      <c r="F10" s="35">
        <v>5</v>
      </c>
    </row>
    <row r="11" spans="1:6" x14ac:dyDescent="0.25">
      <c r="A11" s="31" t="s">
        <v>148</v>
      </c>
      <c r="B11" s="33" t="s">
        <v>22</v>
      </c>
      <c r="C11" s="34">
        <v>0.2</v>
      </c>
      <c r="D11" s="33">
        <v>5</v>
      </c>
      <c r="E11" s="33">
        <v>1</v>
      </c>
      <c r="F11" s="35">
        <v>4</v>
      </c>
    </row>
    <row r="12" spans="1:6" x14ac:dyDescent="0.25">
      <c r="A12" s="31" t="s">
        <v>148</v>
      </c>
      <c r="B12" s="33" t="s">
        <v>30</v>
      </c>
      <c r="C12" s="34">
        <v>0.7857142857142857</v>
      </c>
      <c r="D12" s="33">
        <v>14</v>
      </c>
      <c r="E12" s="33">
        <v>11</v>
      </c>
      <c r="F12" s="35">
        <v>3</v>
      </c>
    </row>
    <row r="13" spans="1:6" x14ac:dyDescent="0.25">
      <c r="A13" s="31" t="s">
        <v>144</v>
      </c>
      <c r="B13" s="33" t="s">
        <v>25</v>
      </c>
      <c r="C13" s="34">
        <v>0.5</v>
      </c>
      <c r="D13" s="33">
        <v>6</v>
      </c>
      <c r="E13" s="33">
        <v>3</v>
      </c>
      <c r="F13" s="35">
        <v>3</v>
      </c>
    </row>
    <row r="14" spans="1:6" x14ac:dyDescent="0.25">
      <c r="A14" s="31" t="s">
        <v>148</v>
      </c>
      <c r="B14" s="33" t="s">
        <v>23</v>
      </c>
      <c r="C14" s="34">
        <v>0.5</v>
      </c>
      <c r="D14" s="33">
        <v>6</v>
      </c>
      <c r="E14" s="33">
        <v>3</v>
      </c>
      <c r="F14" s="35">
        <v>3</v>
      </c>
    </row>
    <row r="15" spans="1:6" x14ac:dyDescent="0.25">
      <c r="A15" s="31" t="s">
        <v>148</v>
      </c>
      <c r="B15" s="33" t="s">
        <v>39</v>
      </c>
      <c r="C15" s="34">
        <v>0.85</v>
      </c>
      <c r="D15" s="33">
        <v>20</v>
      </c>
      <c r="E15" s="33">
        <v>17</v>
      </c>
      <c r="F15" s="35">
        <v>3</v>
      </c>
    </row>
    <row r="16" spans="1:6" x14ac:dyDescent="0.25">
      <c r="A16" s="31" t="s">
        <v>148</v>
      </c>
      <c r="B16" s="33" t="s">
        <v>95</v>
      </c>
      <c r="C16" s="34">
        <v>0.5</v>
      </c>
      <c r="D16" s="33">
        <v>6</v>
      </c>
      <c r="E16" s="33">
        <v>3</v>
      </c>
      <c r="F16" s="35">
        <v>3</v>
      </c>
    </row>
    <row r="17" spans="1:6" x14ac:dyDescent="0.25">
      <c r="A17" s="31" t="s">
        <v>144</v>
      </c>
      <c r="B17" s="33" t="s">
        <v>100</v>
      </c>
      <c r="C17" s="34">
        <v>0.6</v>
      </c>
      <c r="D17" s="33">
        <v>5</v>
      </c>
      <c r="E17" s="33">
        <v>3</v>
      </c>
      <c r="F17" s="35">
        <v>2</v>
      </c>
    </row>
    <row r="18" spans="1:6" x14ac:dyDescent="0.25">
      <c r="A18" s="31" t="s">
        <v>144</v>
      </c>
      <c r="B18" s="33" t="s">
        <v>72</v>
      </c>
      <c r="C18" s="34">
        <v>0.5</v>
      </c>
      <c r="D18" s="33">
        <v>4</v>
      </c>
      <c r="E18" s="33">
        <v>2</v>
      </c>
      <c r="F18" s="35">
        <v>2</v>
      </c>
    </row>
    <row r="19" spans="1:6" x14ac:dyDescent="0.25">
      <c r="A19" s="31" t="s">
        <v>144</v>
      </c>
      <c r="B19" s="33" t="s">
        <v>20</v>
      </c>
      <c r="C19" s="34">
        <v>0.66666666666666663</v>
      </c>
      <c r="D19" s="33">
        <v>6</v>
      </c>
      <c r="E19" s="33">
        <v>4</v>
      </c>
      <c r="F19" s="35">
        <v>2</v>
      </c>
    </row>
    <row r="20" spans="1:6" x14ac:dyDescent="0.25">
      <c r="A20" s="31" t="s">
        <v>144</v>
      </c>
      <c r="B20" s="33" t="s">
        <v>44</v>
      </c>
      <c r="C20" s="34">
        <v>0.6</v>
      </c>
      <c r="D20" s="33">
        <v>5</v>
      </c>
      <c r="E20" s="33">
        <v>3</v>
      </c>
      <c r="F20" s="35">
        <v>2</v>
      </c>
    </row>
    <row r="21" spans="1:6" x14ac:dyDescent="0.25">
      <c r="A21" s="31" t="s">
        <v>148</v>
      </c>
      <c r="B21" s="33" t="s">
        <v>26</v>
      </c>
      <c r="C21" s="34">
        <v>0.7142857142857143</v>
      </c>
      <c r="D21" s="33">
        <v>7</v>
      </c>
      <c r="E21" s="33">
        <v>5</v>
      </c>
      <c r="F21" s="35">
        <v>2</v>
      </c>
    </row>
    <row r="22" spans="1:6" x14ac:dyDescent="0.25">
      <c r="A22" s="31" t="s">
        <v>148</v>
      </c>
      <c r="B22" s="33" t="s">
        <v>73</v>
      </c>
      <c r="C22" s="34">
        <v>0.6</v>
      </c>
      <c r="D22" s="33">
        <v>5</v>
      </c>
      <c r="E22" s="33">
        <v>3</v>
      </c>
      <c r="F22" s="35">
        <v>2</v>
      </c>
    </row>
    <row r="23" spans="1:6" x14ac:dyDescent="0.25">
      <c r="A23" s="31" t="s">
        <v>148</v>
      </c>
      <c r="B23" s="33" t="s">
        <v>17</v>
      </c>
      <c r="C23" s="34">
        <v>0.7142857142857143</v>
      </c>
      <c r="D23" s="33">
        <v>7</v>
      </c>
      <c r="E23" s="33">
        <v>5</v>
      </c>
      <c r="F23" s="35">
        <v>2</v>
      </c>
    </row>
    <row r="24" spans="1:6" x14ac:dyDescent="0.25">
      <c r="A24" s="31" t="s">
        <v>144</v>
      </c>
      <c r="B24" s="33" t="s">
        <v>60</v>
      </c>
      <c r="C24" s="34">
        <v>0.66666666666666663</v>
      </c>
      <c r="D24" s="33">
        <v>3</v>
      </c>
      <c r="E24" s="33">
        <v>2</v>
      </c>
      <c r="F24" s="35">
        <v>1</v>
      </c>
    </row>
    <row r="25" spans="1:6" x14ac:dyDescent="0.25">
      <c r="A25" s="31" t="s">
        <v>144</v>
      </c>
      <c r="B25" s="33" t="s">
        <v>92</v>
      </c>
      <c r="C25" s="34">
        <v>0.75</v>
      </c>
      <c r="D25" s="33">
        <v>4</v>
      </c>
      <c r="E25" s="33">
        <v>3</v>
      </c>
      <c r="F25" s="35">
        <v>1</v>
      </c>
    </row>
    <row r="26" spans="1:6" x14ac:dyDescent="0.25">
      <c r="A26" s="31" t="s">
        <v>144</v>
      </c>
      <c r="B26" s="33" t="s">
        <v>127</v>
      </c>
      <c r="C26" s="34">
        <v>0.66666666666666663</v>
      </c>
      <c r="D26" s="33">
        <v>3</v>
      </c>
      <c r="E26" s="33">
        <v>2</v>
      </c>
      <c r="F26" s="35">
        <v>1</v>
      </c>
    </row>
    <row r="27" spans="1:6" x14ac:dyDescent="0.25">
      <c r="A27" s="31" t="s">
        <v>144</v>
      </c>
      <c r="B27" s="33" t="s">
        <v>110</v>
      </c>
      <c r="C27" s="34">
        <v>0.8</v>
      </c>
      <c r="D27" s="33">
        <v>5</v>
      </c>
      <c r="E27" s="33">
        <v>4</v>
      </c>
      <c r="F27" s="35">
        <v>1</v>
      </c>
    </row>
    <row r="28" spans="1:6" x14ac:dyDescent="0.25">
      <c r="A28" s="31" t="s">
        <v>148</v>
      </c>
      <c r="B28" s="33" t="s">
        <v>29</v>
      </c>
      <c r="C28" s="34">
        <v>0.66666666666666663</v>
      </c>
      <c r="D28" s="33">
        <v>3</v>
      </c>
      <c r="E28" s="33">
        <v>2</v>
      </c>
      <c r="F28" s="35">
        <v>1</v>
      </c>
    </row>
    <row r="29" spans="1:6" x14ac:dyDescent="0.25">
      <c r="A29" s="31" t="s">
        <v>148</v>
      </c>
      <c r="B29" s="33" t="s">
        <v>113</v>
      </c>
      <c r="C29" s="34">
        <v>0</v>
      </c>
      <c r="D29" s="33">
        <v>1</v>
      </c>
      <c r="E29" s="33">
        <v>0</v>
      </c>
      <c r="F29" s="35">
        <v>1</v>
      </c>
    </row>
    <row r="30" spans="1:6" x14ac:dyDescent="0.25">
      <c r="A30" s="31" t="s">
        <v>148</v>
      </c>
      <c r="B30" s="33" t="s">
        <v>18</v>
      </c>
      <c r="C30" s="34">
        <v>0.75</v>
      </c>
      <c r="D30" s="33">
        <v>4</v>
      </c>
      <c r="E30" s="33">
        <v>3</v>
      </c>
      <c r="F30" s="35">
        <v>1</v>
      </c>
    </row>
    <row r="31" spans="1:6" x14ac:dyDescent="0.25">
      <c r="A31" s="31" t="s">
        <v>148</v>
      </c>
      <c r="B31" s="33" t="s">
        <v>151</v>
      </c>
      <c r="C31" s="34">
        <v>0</v>
      </c>
      <c r="D31" s="33">
        <v>1</v>
      </c>
      <c r="E31" s="33">
        <v>0</v>
      </c>
      <c r="F31" s="35">
        <v>1</v>
      </c>
    </row>
    <row r="32" spans="1:6" x14ac:dyDescent="0.25">
      <c r="A32" s="31" t="s">
        <v>148</v>
      </c>
      <c r="B32" s="33" t="s">
        <v>37</v>
      </c>
      <c r="C32" s="34">
        <v>0</v>
      </c>
      <c r="D32" s="33">
        <v>1</v>
      </c>
      <c r="E32" s="33">
        <v>0</v>
      </c>
      <c r="F32" s="35">
        <v>1</v>
      </c>
    </row>
    <row r="33" spans="1:6" x14ac:dyDescent="0.25">
      <c r="A33" s="31" t="s">
        <v>144</v>
      </c>
      <c r="B33" s="33" t="s">
        <v>67</v>
      </c>
      <c r="C33" s="34">
        <v>0.5</v>
      </c>
      <c r="D33" s="33">
        <v>2</v>
      </c>
      <c r="E33" s="33">
        <v>1</v>
      </c>
      <c r="F33" s="35">
        <v>1</v>
      </c>
    </row>
    <row r="34" spans="1:6" x14ac:dyDescent="0.25">
      <c r="A34" s="31" t="s">
        <v>144</v>
      </c>
      <c r="B34" s="33" t="s">
        <v>61</v>
      </c>
      <c r="C34" s="34">
        <v>0.9</v>
      </c>
      <c r="D34" s="33">
        <v>10</v>
      </c>
      <c r="E34" s="33">
        <v>9</v>
      </c>
      <c r="F34" s="35">
        <v>1</v>
      </c>
    </row>
    <row r="35" spans="1:6" x14ac:dyDescent="0.25">
      <c r="A35" s="31" t="s">
        <v>148</v>
      </c>
      <c r="B35" s="33" t="s">
        <v>99</v>
      </c>
      <c r="C35" s="34">
        <v>0.5</v>
      </c>
      <c r="D35" s="33">
        <v>2</v>
      </c>
      <c r="E35" s="33">
        <v>1</v>
      </c>
      <c r="F35" s="35">
        <v>1</v>
      </c>
    </row>
    <row r="36" spans="1:6" x14ac:dyDescent="0.25">
      <c r="A36" s="31" t="s">
        <v>148</v>
      </c>
      <c r="B36" s="33" t="s">
        <v>63</v>
      </c>
      <c r="C36" s="34">
        <v>0</v>
      </c>
      <c r="D36" s="33">
        <v>1</v>
      </c>
      <c r="E36" s="33">
        <v>0</v>
      </c>
      <c r="F36" s="35">
        <v>1</v>
      </c>
    </row>
    <row r="37" spans="1:6" x14ac:dyDescent="0.25">
      <c r="A37" s="31" t="s">
        <v>148</v>
      </c>
      <c r="B37" s="33" t="s">
        <v>35</v>
      </c>
      <c r="C37" s="34">
        <v>0.66666666666666663</v>
      </c>
      <c r="D37" s="33">
        <v>3</v>
      </c>
      <c r="E37" s="33">
        <v>2</v>
      </c>
      <c r="F37" s="35">
        <v>1</v>
      </c>
    </row>
    <row r="38" spans="1:6" x14ac:dyDescent="0.25">
      <c r="A38" s="31" t="s">
        <v>148</v>
      </c>
      <c r="B38" s="33" t="s">
        <v>126</v>
      </c>
      <c r="C38" s="34">
        <v>0</v>
      </c>
      <c r="D38" s="33">
        <v>1</v>
      </c>
      <c r="E38" s="33">
        <v>0</v>
      </c>
      <c r="F38" s="35">
        <v>1</v>
      </c>
    </row>
    <row r="39" spans="1:6" x14ac:dyDescent="0.25">
      <c r="A39" s="31" t="s">
        <v>144</v>
      </c>
      <c r="B39" s="33" t="s">
        <v>71</v>
      </c>
      <c r="C39" s="34">
        <v>0.66666666666666663</v>
      </c>
      <c r="D39" s="33">
        <v>3</v>
      </c>
      <c r="E39" s="33">
        <v>2</v>
      </c>
      <c r="F39" s="35">
        <v>1</v>
      </c>
    </row>
    <row r="40" spans="1:6" x14ac:dyDescent="0.25">
      <c r="A40" s="31" t="s">
        <v>148</v>
      </c>
      <c r="B40" s="33" t="s">
        <v>114</v>
      </c>
      <c r="C40" s="34">
        <v>0</v>
      </c>
      <c r="D40" s="33">
        <v>1</v>
      </c>
      <c r="E40" s="33">
        <v>0</v>
      </c>
      <c r="F40" s="35">
        <v>1</v>
      </c>
    </row>
    <row r="41" spans="1:6" x14ac:dyDescent="0.25">
      <c r="A41" s="31" t="s">
        <v>148</v>
      </c>
      <c r="B41" s="33" t="s">
        <v>65</v>
      </c>
      <c r="C41" s="34">
        <v>0</v>
      </c>
      <c r="D41" s="33">
        <v>1</v>
      </c>
      <c r="E41" s="33">
        <v>0</v>
      </c>
      <c r="F41" s="35">
        <v>1</v>
      </c>
    </row>
    <row r="42" spans="1:6" x14ac:dyDescent="0.25">
      <c r="A42" s="31" t="s">
        <v>148</v>
      </c>
      <c r="B42" s="33" t="s">
        <v>97</v>
      </c>
      <c r="C42" s="34">
        <v>0</v>
      </c>
      <c r="D42" s="33">
        <v>1</v>
      </c>
      <c r="E42" s="33">
        <v>0</v>
      </c>
      <c r="F42" s="35">
        <v>1</v>
      </c>
    </row>
    <row r="43" spans="1:6" x14ac:dyDescent="0.25">
      <c r="A43" s="31" t="s">
        <v>144</v>
      </c>
      <c r="B43" s="33" t="s">
        <v>81</v>
      </c>
      <c r="C43" s="34">
        <v>0</v>
      </c>
      <c r="D43" s="33">
        <v>1</v>
      </c>
      <c r="E43" s="33">
        <v>0</v>
      </c>
      <c r="F43" s="35">
        <v>1</v>
      </c>
    </row>
    <row r="44" spans="1:6" x14ac:dyDescent="0.25">
      <c r="A44" s="31" t="s">
        <v>148</v>
      </c>
      <c r="B44" s="33" t="s">
        <v>36</v>
      </c>
      <c r="C44" s="34">
        <v>0</v>
      </c>
      <c r="D44" s="33">
        <v>1</v>
      </c>
      <c r="E44" s="33">
        <v>0</v>
      </c>
      <c r="F44" s="35">
        <v>1</v>
      </c>
    </row>
    <row r="45" spans="1:6" x14ac:dyDescent="0.25">
      <c r="A45" s="31" t="s">
        <v>148</v>
      </c>
      <c r="B45" s="33" t="s">
        <v>19</v>
      </c>
      <c r="C45" s="34">
        <v>0.8</v>
      </c>
      <c r="D45" s="33">
        <v>5</v>
      </c>
      <c r="E45" s="33">
        <v>4</v>
      </c>
      <c r="F45" s="35">
        <v>1</v>
      </c>
    </row>
    <row r="46" spans="1:6" x14ac:dyDescent="0.25">
      <c r="A46" s="31" t="s">
        <v>144</v>
      </c>
      <c r="B46" s="33" t="s">
        <v>69</v>
      </c>
      <c r="C46" s="34">
        <v>0.5</v>
      </c>
      <c r="D46" s="33">
        <v>2</v>
      </c>
      <c r="E46" s="33">
        <v>1</v>
      </c>
      <c r="F46" s="35">
        <v>1</v>
      </c>
    </row>
    <row r="47" spans="1:6" x14ac:dyDescent="0.25">
      <c r="A47" s="31" t="s">
        <v>148</v>
      </c>
      <c r="B47" s="33" t="s">
        <v>47</v>
      </c>
      <c r="C47" s="34">
        <v>0.5</v>
      </c>
      <c r="D47" s="33">
        <v>2</v>
      </c>
      <c r="E47" s="33">
        <v>1</v>
      </c>
      <c r="F47" s="35">
        <v>1</v>
      </c>
    </row>
    <row r="48" spans="1:6" x14ac:dyDescent="0.25">
      <c r="A48" s="31" t="s">
        <v>148</v>
      </c>
      <c r="B48" s="33" t="s">
        <v>118</v>
      </c>
      <c r="C48" s="34">
        <v>0.5</v>
      </c>
      <c r="D48" s="33">
        <v>2</v>
      </c>
      <c r="E48" s="33">
        <v>1</v>
      </c>
      <c r="F48" s="35">
        <v>1</v>
      </c>
    </row>
    <row r="49" spans="1:6" x14ac:dyDescent="0.25">
      <c r="A49" s="31" t="s">
        <v>144</v>
      </c>
      <c r="B49" s="33" t="s">
        <v>79</v>
      </c>
      <c r="C49" s="34">
        <v>0</v>
      </c>
      <c r="D49" s="33">
        <v>1</v>
      </c>
      <c r="E49" s="33">
        <v>0</v>
      </c>
      <c r="F49" s="35">
        <v>1</v>
      </c>
    </row>
    <row r="50" spans="1:6" x14ac:dyDescent="0.25">
      <c r="A50" s="31" t="s">
        <v>144</v>
      </c>
      <c r="B50" s="33" t="s">
        <v>77</v>
      </c>
      <c r="C50" s="34">
        <v>0</v>
      </c>
      <c r="D50" s="33">
        <v>1</v>
      </c>
      <c r="E50" s="33">
        <v>0</v>
      </c>
      <c r="F50" s="35">
        <v>1</v>
      </c>
    </row>
    <row r="51" spans="1:6" x14ac:dyDescent="0.25">
      <c r="A51" s="31" t="s">
        <v>148</v>
      </c>
      <c r="B51" s="33" t="s">
        <v>74</v>
      </c>
      <c r="C51" s="34">
        <v>0</v>
      </c>
      <c r="D51" s="33">
        <v>1</v>
      </c>
      <c r="E51" s="33">
        <v>0</v>
      </c>
      <c r="F51" s="35">
        <v>1</v>
      </c>
    </row>
    <row r="52" spans="1:6" x14ac:dyDescent="0.25">
      <c r="A52" s="31" t="s">
        <v>148</v>
      </c>
      <c r="B52" s="33" t="s">
        <v>48</v>
      </c>
      <c r="C52" s="34">
        <v>1</v>
      </c>
      <c r="D52" s="33">
        <v>2</v>
      </c>
      <c r="E52" s="33">
        <v>2</v>
      </c>
      <c r="F52" s="35">
        <v>0</v>
      </c>
    </row>
    <row r="53" spans="1:6" x14ac:dyDescent="0.25">
      <c r="A53" s="31" t="s">
        <v>144</v>
      </c>
      <c r="B53" s="33" t="s">
        <v>124</v>
      </c>
      <c r="C53" s="34">
        <v>1</v>
      </c>
      <c r="D53" s="33">
        <v>1</v>
      </c>
      <c r="E53" s="33">
        <v>1</v>
      </c>
      <c r="F53" s="35">
        <v>0</v>
      </c>
    </row>
    <row r="54" spans="1:6" x14ac:dyDescent="0.25">
      <c r="A54" s="31" t="s">
        <v>148</v>
      </c>
      <c r="B54" s="33" t="s">
        <v>76</v>
      </c>
      <c r="C54" s="34">
        <v>1</v>
      </c>
      <c r="D54" s="33">
        <v>1</v>
      </c>
      <c r="E54" s="33">
        <v>1</v>
      </c>
      <c r="F54" s="35">
        <v>0</v>
      </c>
    </row>
    <row r="55" spans="1:6" x14ac:dyDescent="0.25">
      <c r="A55" s="31" t="s">
        <v>144</v>
      </c>
      <c r="B55" s="33" t="s">
        <v>94</v>
      </c>
      <c r="C55" s="34">
        <v>1</v>
      </c>
      <c r="D55" s="33">
        <v>1</v>
      </c>
      <c r="E55" s="33">
        <v>1</v>
      </c>
      <c r="F55" s="35">
        <v>0</v>
      </c>
    </row>
    <row r="56" spans="1:6" x14ac:dyDescent="0.25">
      <c r="A56" s="31" t="s">
        <v>148</v>
      </c>
      <c r="B56" s="33" t="s">
        <v>21</v>
      </c>
      <c r="C56" s="34">
        <v>1</v>
      </c>
      <c r="D56" s="33">
        <v>1</v>
      </c>
      <c r="E56" s="33">
        <v>1</v>
      </c>
      <c r="F56" s="35">
        <v>0</v>
      </c>
    </row>
    <row r="57" spans="1:6" x14ac:dyDescent="0.25">
      <c r="A57" s="31" t="s">
        <v>144</v>
      </c>
      <c r="B57" s="33" t="s">
        <v>84</v>
      </c>
      <c r="C57" s="34">
        <v>1</v>
      </c>
      <c r="D57" s="33">
        <v>2</v>
      </c>
      <c r="E57" s="33">
        <v>2</v>
      </c>
      <c r="F57" s="35">
        <v>0</v>
      </c>
    </row>
    <row r="58" spans="1:6" x14ac:dyDescent="0.25">
      <c r="A58" s="31" t="s">
        <v>144</v>
      </c>
      <c r="B58" s="33" t="s">
        <v>131</v>
      </c>
      <c r="C58" s="34">
        <v>1</v>
      </c>
      <c r="D58" s="33">
        <v>1</v>
      </c>
      <c r="E58" s="33">
        <v>1</v>
      </c>
      <c r="F58" s="35">
        <v>0</v>
      </c>
    </row>
    <row r="59" spans="1:6" x14ac:dyDescent="0.25">
      <c r="A59" s="31" t="s">
        <v>144</v>
      </c>
      <c r="B59" s="33" t="s">
        <v>80</v>
      </c>
      <c r="C59" s="34">
        <v>1</v>
      </c>
      <c r="D59" s="33">
        <v>1</v>
      </c>
      <c r="E59" s="33">
        <v>1</v>
      </c>
      <c r="F59" s="35">
        <v>0</v>
      </c>
    </row>
    <row r="60" spans="1:6" x14ac:dyDescent="0.25">
      <c r="A60" s="31" t="s">
        <v>148</v>
      </c>
      <c r="B60" s="33" t="s">
        <v>112</v>
      </c>
      <c r="C60" s="34">
        <v>1</v>
      </c>
      <c r="D60" s="33">
        <v>3</v>
      </c>
      <c r="E60" s="33">
        <v>3</v>
      </c>
      <c r="F60" s="35">
        <v>0</v>
      </c>
    </row>
    <row r="61" spans="1:6" x14ac:dyDescent="0.25">
      <c r="A61" s="31" t="s">
        <v>148</v>
      </c>
      <c r="B61" s="33" t="s">
        <v>82</v>
      </c>
      <c r="C61" s="34">
        <v>1</v>
      </c>
      <c r="D61" s="33">
        <v>1</v>
      </c>
      <c r="E61" s="33">
        <v>1</v>
      </c>
      <c r="F61" s="35">
        <v>0</v>
      </c>
    </row>
    <row r="62" spans="1:6" x14ac:dyDescent="0.25">
      <c r="A62" s="31" t="s">
        <v>144</v>
      </c>
      <c r="B62" s="33" t="s">
        <v>68</v>
      </c>
      <c r="C62" s="34">
        <v>1</v>
      </c>
      <c r="D62" s="33">
        <v>1</v>
      </c>
      <c r="E62" s="33">
        <v>1</v>
      </c>
      <c r="F62" s="35">
        <v>0</v>
      </c>
    </row>
    <row r="63" spans="1:6" x14ac:dyDescent="0.25">
      <c r="A63" s="31" t="s">
        <v>144</v>
      </c>
      <c r="B63" s="33" t="s">
        <v>86</v>
      </c>
      <c r="C63" s="34">
        <v>1</v>
      </c>
      <c r="D63" s="33">
        <v>2</v>
      </c>
      <c r="E63" s="33">
        <v>2</v>
      </c>
      <c r="F63" s="35">
        <v>0</v>
      </c>
    </row>
    <row r="64" spans="1:6" x14ac:dyDescent="0.25">
      <c r="A64" s="31" t="s">
        <v>144</v>
      </c>
      <c r="B64" s="33" t="s">
        <v>90</v>
      </c>
      <c r="C64" s="34">
        <v>1</v>
      </c>
      <c r="D64" s="33">
        <v>3</v>
      </c>
      <c r="E64" s="33">
        <v>3</v>
      </c>
      <c r="F64" s="35">
        <v>0</v>
      </c>
    </row>
    <row r="65" spans="1:6" x14ac:dyDescent="0.25">
      <c r="A65" s="31" t="s">
        <v>148</v>
      </c>
      <c r="B65" s="33" t="s">
        <v>28</v>
      </c>
      <c r="C65" s="34">
        <v>1</v>
      </c>
      <c r="D65" s="33">
        <v>2</v>
      </c>
      <c r="E65" s="33">
        <v>2</v>
      </c>
      <c r="F65" s="35">
        <v>0</v>
      </c>
    </row>
    <row r="66" spans="1:6" x14ac:dyDescent="0.25">
      <c r="A66" s="31" t="s">
        <v>148</v>
      </c>
      <c r="B66" s="33" t="s">
        <v>83</v>
      </c>
      <c r="C66" s="34">
        <v>1</v>
      </c>
      <c r="D66" s="33">
        <v>1</v>
      </c>
      <c r="E66" s="33">
        <v>1</v>
      </c>
      <c r="F66" s="35">
        <v>0</v>
      </c>
    </row>
    <row r="67" spans="1:6" x14ac:dyDescent="0.25">
      <c r="A67" s="31" t="s">
        <v>148</v>
      </c>
      <c r="B67" s="33" t="s">
        <v>101</v>
      </c>
      <c r="C67" s="34">
        <v>1</v>
      </c>
      <c r="D67" s="33">
        <v>1</v>
      </c>
      <c r="E67" s="33">
        <v>1</v>
      </c>
      <c r="F67" s="35">
        <v>0</v>
      </c>
    </row>
    <row r="68" spans="1:6" x14ac:dyDescent="0.25">
      <c r="A68" s="31" t="s">
        <v>144</v>
      </c>
      <c r="B68" s="33" t="s">
        <v>102</v>
      </c>
      <c r="C68" s="34">
        <v>1</v>
      </c>
      <c r="D68" s="33">
        <v>1</v>
      </c>
      <c r="E68" s="33">
        <v>1</v>
      </c>
      <c r="F68" s="35">
        <v>0</v>
      </c>
    </row>
    <row r="69" spans="1:6" x14ac:dyDescent="0.25">
      <c r="A69" s="31" t="s">
        <v>148</v>
      </c>
      <c r="B69" s="33" t="s">
        <v>46</v>
      </c>
      <c r="C69" s="34">
        <v>1</v>
      </c>
      <c r="D69" s="33">
        <v>3</v>
      </c>
      <c r="E69" s="33">
        <v>3</v>
      </c>
      <c r="F69" s="35">
        <v>0</v>
      </c>
    </row>
    <row r="70" spans="1:6" x14ac:dyDescent="0.25">
      <c r="A70" s="31" t="s">
        <v>144</v>
      </c>
      <c r="B70" s="31" t="s">
        <v>70</v>
      </c>
      <c r="C70" s="34">
        <v>1</v>
      </c>
      <c r="D70" s="31">
        <v>1</v>
      </c>
      <c r="E70" s="31">
        <v>1</v>
      </c>
      <c r="F70" s="35">
        <v>0</v>
      </c>
    </row>
    <row r="71" spans="1:6" x14ac:dyDescent="0.25">
      <c r="A71" s="31" t="s">
        <v>144</v>
      </c>
      <c r="B71" s="31" t="s">
        <v>146</v>
      </c>
      <c r="C71" s="34">
        <v>1</v>
      </c>
      <c r="D71" s="31">
        <v>2</v>
      </c>
      <c r="E71" s="31">
        <v>2</v>
      </c>
      <c r="F71" s="35">
        <v>0</v>
      </c>
    </row>
    <row r="72" spans="1:6" x14ac:dyDescent="0.25">
      <c r="A72" s="31" t="s">
        <v>148</v>
      </c>
      <c r="B72" s="31" t="s">
        <v>103</v>
      </c>
      <c r="C72" s="34">
        <v>1</v>
      </c>
      <c r="D72" s="31">
        <v>6</v>
      </c>
      <c r="E72" s="31">
        <v>6</v>
      </c>
      <c r="F72" s="35">
        <v>0</v>
      </c>
    </row>
    <row r="73" spans="1:6" x14ac:dyDescent="0.25">
      <c r="A73" s="31" t="s">
        <v>148</v>
      </c>
      <c r="B73" s="31" t="s">
        <v>109</v>
      </c>
      <c r="C73" s="34">
        <v>1</v>
      </c>
      <c r="D73" s="31">
        <v>1</v>
      </c>
      <c r="E73" s="31">
        <v>1</v>
      </c>
      <c r="F73" s="35">
        <v>0</v>
      </c>
    </row>
    <row r="74" spans="1:6" x14ac:dyDescent="0.25">
      <c r="A74" s="31" t="s">
        <v>144</v>
      </c>
      <c r="B74" s="31" t="s">
        <v>106</v>
      </c>
      <c r="C74" s="34">
        <v>1</v>
      </c>
      <c r="D74" s="31">
        <v>1</v>
      </c>
      <c r="E74" s="31">
        <v>1</v>
      </c>
      <c r="F74" s="35">
        <v>0</v>
      </c>
    </row>
    <row r="75" spans="1:6" x14ac:dyDescent="0.25">
      <c r="A75" s="31" t="s">
        <v>144</v>
      </c>
      <c r="B75" s="31" t="s">
        <v>137</v>
      </c>
      <c r="C75" s="34">
        <v>1</v>
      </c>
      <c r="D75" s="31">
        <v>1</v>
      </c>
      <c r="E75" s="31">
        <v>1</v>
      </c>
      <c r="F75" s="35">
        <v>0</v>
      </c>
    </row>
    <row r="76" spans="1:6" x14ac:dyDescent="0.25">
      <c r="A76" s="31" t="s">
        <v>144</v>
      </c>
      <c r="B76" s="31" t="s">
        <v>88</v>
      </c>
      <c r="C76" s="34">
        <v>1</v>
      </c>
      <c r="D76" s="31">
        <v>1</v>
      </c>
      <c r="E76" s="31">
        <v>1</v>
      </c>
      <c r="F76" s="35">
        <v>0</v>
      </c>
    </row>
    <row r="77" spans="1:6" x14ac:dyDescent="0.25">
      <c r="A77" s="31" t="s">
        <v>144</v>
      </c>
      <c r="B77" s="31" t="s">
        <v>140</v>
      </c>
      <c r="C77" s="34">
        <v>1</v>
      </c>
      <c r="D77" s="31">
        <v>1</v>
      </c>
      <c r="E77" s="31">
        <v>1</v>
      </c>
      <c r="F77" s="35">
        <v>0</v>
      </c>
    </row>
    <row r="78" spans="1:6" x14ac:dyDescent="0.25">
      <c r="A78" t="s">
        <v>148</v>
      </c>
      <c r="B78" t="s">
        <v>393</v>
      </c>
      <c r="C78" s="39">
        <v>1</v>
      </c>
      <c r="D78">
        <v>2</v>
      </c>
      <c r="E78">
        <v>2</v>
      </c>
      <c r="F78">
        <v>0</v>
      </c>
    </row>
  </sheetData>
  <mergeCells count="1">
    <mergeCell ref="A1:F1"/>
  </mergeCells>
  <conditionalFormatting sqref="C4:C7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{D8330290-072E-42B9-8B19-87CBE19A6120}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330290-072E-42B9-8B19-87CBE19A61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C4:C77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85C6-64A7-4BE3-9AB4-6A4C1CB1A2BA}">
  <dimension ref="A1:B209"/>
  <sheetViews>
    <sheetView topLeftCell="A96" workbookViewId="0">
      <selection activeCell="B117" sqref="B117"/>
    </sheetView>
  </sheetViews>
  <sheetFormatPr defaultColWidth="15.5703125" defaultRowHeight="15" x14ac:dyDescent="0.25"/>
  <sheetData>
    <row r="1" spans="1:2" x14ac:dyDescent="0.25">
      <c r="A1" s="29" t="s">
        <v>141</v>
      </c>
      <c r="B1" s="30" t="s">
        <v>142</v>
      </c>
    </row>
    <row r="2" spans="1:2" x14ac:dyDescent="0.25">
      <c r="A2" s="32" t="s">
        <v>89</v>
      </c>
      <c r="B2" s="32" t="s">
        <v>144</v>
      </c>
    </row>
    <row r="3" spans="1:2" x14ac:dyDescent="0.25">
      <c r="A3" s="32" t="s">
        <v>92</v>
      </c>
      <c r="B3" s="32" t="s">
        <v>144</v>
      </c>
    </row>
    <row r="4" spans="1:2" x14ac:dyDescent="0.25">
      <c r="A4" s="32" t="s">
        <v>70</v>
      </c>
      <c r="B4" s="32" t="s">
        <v>144</v>
      </c>
    </row>
    <row r="5" spans="1:2" x14ac:dyDescent="0.25">
      <c r="A5" s="32" t="s">
        <v>20</v>
      </c>
      <c r="B5" s="32" t="s">
        <v>144</v>
      </c>
    </row>
    <row r="6" spans="1:2" x14ac:dyDescent="0.25">
      <c r="A6" s="32" t="s">
        <v>102</v>
      </c>
      <c r="B6" s="32" t="s">
        <v>144</v>
      </c>
    </row>
    <row r="7" spans="1:2" x14ac:dyDescent="0.25">
      <c r="A7" s="32" t="s">
        <v>75</v>
      </c>
      <c r="B7" s="32" t="s">
        <v>144</v>
      </c>
    </row>
    <row r="8" spans="1:2" x14ac:dyDescent="0.25">
      <c r="A8" s="32" t="s">
        <v>124</v>
      </c>
      <c r="B8" s="32" t="s">
        <v>144</v>
      </c>
    </row>
    <row r="9" spans="1:2" x14ac:dyDescent="0.25">
      <c r="A9" s="32" t="s">
        <v>24</v>
      </c>
      <c r="B9" s="32" t="s">
        <v>144</v>
      </c>
    </row>
    <row r="10" spans="1:2" x14ac:dyDescent="0.25">
      <c r="A10" s="32" t="s">
        <v>68</v>
      </c>
      <c r="B10" s="32" t="s">
        <v>144</v>
      </c>
    </row>
    <row r="11" spans="1:2" x14ac:dyDescent="0.25">
      <c r="A11" s="32" t="s">
        <v>106</v>
      </c>
      <c r="B11" s="32" t="s">
        <v>144</v>
      </c>
    </row>
    <row r="12" spans="1:2" x14ac:dyDescent="0.25">
      <c r="A12" s="32" t="s">
        <v>137</v>
      </c>
      <c r="B12" s="32" t="s">
        <v>144</v>
      </c>
    </row>
    <row r="13" spans="1:2" x14ac:dyDescent="0.25">
      <c r="A13" s="32" t="s">
        <v>119</v>
      </c>
      <c r="B13" s="32" t="s">
        <v>144</v>
      </c>
    </row>
    <row r="14" spans="1:2" x14ac:dyDescent="0.25">
      <c r="A14" s="32" t="s">
        <v>145</v>
      </c>
      <c r="B14" s="32" t="s">
        <v>144</v>
      </c>
    </row>
    <row r="15" spans="1:2" x14ac:dyDescent="0.25">
      <c r="A15" s="32" t="s">
        <v>71</v>
      </c>
      <c r="B15" s="32" t="s">
        <v>144</v>
      </c>
    </row>
    <row r="16" spans="1:2" x14ac:dyDescent="0.25">
      <c r="A16" s="32" t="s">
        <v>146</v>
      </c>
      <c r="B16" s="32" t="s">
        <v>144</v>
      </c>
    </row>
    <row r="17" spans="1:2" x14ac:dyDescent="0.25">
      <c r="A17" s="32" t="s">
        <v>90</v>
      </c>
      <c r="B17" s="32" t="s">
        <v>144</v>
      </c>
    </row>
    <row r="18" spans="1:2" x14ac:dyDescent="0.25">
      <c r="A18" s="32" t="s">
        <v>98</v>
      </c>
      <c r="B18" s="32" t="s">
        <v>144</v>
      </c>
    </row>
    <row r="19" spans="1:2" x14ac:dyDescent="0.25">
      <c r="A19" s="32" t="s">
        <v>147</v>
      </c>
      <c r="B19" s="32" t="s">
        <v>144</v>
      </c>
    </row>
    <row r="20" spans="1:2" x14ac:dyDescent="0.25">
      <c r="A20" s="32" t="s">
        <v>17</v>
      </c>
      <c r="B20" s="32" t="s">
        <v>148</v>
      </c>
    </row>
    <row r="21" spans="1:2" x14ac:dyDescent="0.25">
      <c r="A21" s="32" t="s">
        <v>118</v>
      </c>
      <c r="B21" s="32" t="s">
        <v>148</v>
      </c>
    </row>
    <row r="22" spans="1:2" x14ac:dyDescent="0.25">
      <c r="A22" s="32" t="s">
        <v>39</v>
      </c>
      <c r="B22" s="32" t="s">
        <v>148</v>
      </c>
    </row>
    <row r="23" spans="1:2" x14ac:dyDescent="0.25">
      <c r="A23" s="32" t="s">
        <v>95</v>
      </c>
      <c r="B23" s="32" t="s">
        <v>148</v>
      </c>
    </row>
    <row r="24" spans="1:2" x14ac:dyDescent="0.25">
      <c r="A24" s="32" t="s">
        <v>35</v>
      </c>
      <c r="B24" s="32" t="s">
        <v>148</v>
      </c>
    </row>
    <row r="25" spans="1:2" x14ac:dyDescent="0.25">
      <c r="A25" s="32" t="s">
        <v>59</v>
      </c>
      <c r="B25" s="32" t="s">
        <v>148</v>
      </c>
    </row>
    <row r="26" spans="1:2" x14ac:dyDescent="0.25">
      <c r="A26" s="32" t="s">
        <v>18</v>
      </c>
      <c r="B26" s="32" t="s">
        <v>148</v>
      </c>
    </row>
    <row r="27" spans="1:2" x14ac:dyDescent="0.25">
      <c r="A27" s="32" t="s">
        <v>131</v>
      </c>
      <c r="B27" s="32" t="s">
        <v>144</v>
      </c>
    </row>
    <row r="28" spans="1:2" x14ac:dyDescent="0.25">
      <c r="A28" s="32" t="s">
        <v>149</v>
      </c>
      <c r="B28" s="32" t="s">
        <v>144</v>
      </c>
    </row>
    <row r="29" spans="1:2" x14ac:dyDescent="0.25">
      <c r="A29" s="32" t="s">
        <v>110</v>
      </c>
      <c r="B29" s="32" t="s">
        <v>144</v>
      </c>
    </row>
    <row r="30" spans="1:2" x14ac:dyDescent="0.25">
      <c r="A30" s="32" t="s">
        <v>104</v>
      </c>
      <c r="B30" s="32" t="s">
        <v>144</v>
      </c>
    </row>
    <row r="31" spans="1:2" x14ac:dyDescent="0.25">
      <c r="A31" s="32" t="s">
        <v>117</v>
      </c>
      <c r="B31" s="32" t="s">
        <v>144</v>
      </c>
    </row>
    <row r="32" spans="1:2" x14ac:dyDescent="0.25">
      <c r="A32" s="32" t="s">
        <v>38</v>
      </c>
      <c r="B32" s="32" t="s">
        <v>144</v>
      </c>
    </row>
    <row r="33" spans="1:2" x14ac:dyDescent="0.25">
      <c r="A33" s="32" t="s">
        <v>77</v>
      </c>
      <c r="B33" s="32" t="s">
        <v>144</v>
      </c>
    </row>
    <row r="34" spans="1:2" x14ac:dyDescent="0.25">
      <c r="A34" s="32" t="s">
        <v>69</v>
      </c>
      <c r="B34" s="32" t="s">
        <v>144</v>
      </c>
    </row>
    <row r="35" spans="1:2" x14ac:dyDescent="0.25">
      <c r="A35" s="32" t="s">
        <v>73</v>
      </c>
      <c r="B35" s="32" t="s">
        <v>148</v>
      </c>
    </row>
    <row r="36" spans="1:2" x14ac:dyDescent="0.25">
      <c r="A36" s="32" t="s">
        <v>15</v>
      </c>
      <c r="B36" s="32" t="s">
        <v>148</v>
      </c>
    </row>
    <row r="37" spans="1:2" x14ac:dyDescent="0.25">
      <c r="A37" s="32" t="s">
        <v>109</v>
      </c>
      <c r="B37" s="32" t="s">
        <v>148</v>
      </c>
    </row>
    <row r="38" spans="1:2" x14ac:dyDescent="0.25">
      <c r="A38" s="32" t="s">
        <v>107</v>
      </c>
      <c r="B38" s="32" t="s">
        <v>148</v>
      </c>
    </row>
    <row r="39" spans="1:2" x14ac:dyDescent="0.25">
      <c r="A39" s="32" t="s">
        <v>91</v>
      </c>
      <c r="B39" s="32" t="s">
        <v>148</v>
      </c>
    </row>
    <row r="40" spans="1:2" x14ac:dyDescent="0.25">
      <c r="A40" s="32" t="s">
        <v>28</v>
      </c>
      <c r="B40" s="32" t="s">
        <v>148</v>
      </c>
    </row>
    <row r="41" spans="1:2" x14ac:dyDescent="0.25">
      <c r="A41" s="32" t="s">
        <v>133</v>
      </c>
      <c r="B41" s="32" t="s">
        <v>148</v>
      </c>
    </row>
    <row r="42" spans="1:2" x14ac:dyDescent="0.25">
      <c r="A42" s="32" t="s">
        <v>76</v>
      </c>
      <c r="B42" s="32" t="s">
        <v>148</v>
      </c>
    </row>
    <row r="43" spans="1:2" x14ac:dyDescent="0.25">
      <c r="A43" s="32" t="s">
        <v>62</v>
      </c>
      <c r="B43" s="32" t="s">
        <v>148</v>
      </c>
    </row>
    <row r="44" spans="1:2" x14ac:dyDescent="0.25">
      <c r="A44" s="32" t="s">
        <v>65</v>
      </c>
      <c r="B44" s="32" t="s">
        <v>148</v>
      </c>
    </row>
    <row r="45" spans="1:2" x14ac:dyDescent="0.25">
      <c r="A45" s="32" t="s">
        <v>108</v>
      </c>
      <c r="B45" s="32" t="s">
        <v>148</v>
      </c>
    </row>
    <row r="46" spans="1:2" x14ac:dyDescent="0.25">
      <c r="A46" s="32" t="s">
        <v>111</v>
      </c>
      <c r="B46" s="32" t="s">
        <v>148</v>
      </c>
    </row>
    <row r="47" spans="1:2" x14ac:dyDescent="0.25">
      <c r="A47" s="32" t="s">
        <v>116</v>
      </c>
      <c r="B47" s="32" t="s">
        <v>148</v>
      </c>
    </row>
    <row r="48" spans="1:2" x14ac:dyDescent="0.25">
      <c r="A48" s="32" t="s">
        <v>74</v>
      </c>
      <c r="B48" s="32" t="s">
        <v>148</v>
      </c>
    </row>
    <row r="49" spans="1:2" x14ac:dyDescent="0.25">
      <c r="A49" s="32" t="s">
        <v>34</v>
      </c>
      <c r="B49" s="32" t="s">
        <v>148</v>
      </c>
    </row>
    <row r="50" spans="1:2" x14ac:dyDescent="0.25">
      <c r="A50" s="32" t="s">
        <v>19</v>
      </c>
      <c r="B50" s="32" t="s">
        <v>148</v>
      </c>
    </row>
    <row r="51" spans="1:2" x14ac:dyDescent="0.25">
      <c r="A51" s="32" t="s">
        <v>150</v>
      </c>
      <c r="B51" s="32" t="s">
        <v>148</v>
      </c>
    </row>
    <row r="52" spans="1:2" x14ac:dyDescent="0.25">
      <c r="A52" s="32" t="s">
        <v>37</v>
      </c>
      <c r="B52" s="32" t="s">
        <v>148</v>
      </c>
    </row>
    <row r="53" spans="1:2" x14ac:dyDescent="0.25">
      <c r="A53" s="32" t="s">
        <v>66</v>
      </c>
      <c r="B53" s="32" t="s">
        <v>148</v>
      </c>
    </row>
    <row r="54" spans="1:2" x14ac:dyDescent="0.25">
      <c r="A54" s="32" t="s">
        <v>29</v>
      </c>
      <c r="B54" s="32" t="s">
        <v>148</v>
      </c>
    </row>
    <row r="55" spans="1:2" x14ac:dyDescent="0.25">
      <c r="A55" s="32" t="s">
        <v>21</v>
      </c>
      <c r="B55" s="32" t="s">
        <v>148</v>
      </c>
    </row>
    <row r="56" spans="1:2" x14ac:dyDescent="0.25">
      <c r="A56" s="32" t="s">
        <v>99</v>
      </c>
      <c r="B56" s="32" t="s">
        <v>148</v>
      </c>
    </row>
    <row r="57" spans="1:2" x14ac:dyDescent="0.25">
      <c r="A57" s="32" t="s">
        <v>134</v>
      </c>
      <c r="B57" s="32" t="s">
        <v>148</v>
      </c>
    </row>
    <row r="58" spans="1:2" x14ac:dyDescent="0.25">
      <c r="A58" s="32" t="s">
        <v>23</v>
      </c>
      <c r="B58" s="32" t="s">
        <v>148</v>
      </c>
    </row>
    <row r="59" spans="1:2" x14ac:dyDescent="0.25">
      <c r="A59" s="32" t="s">
        <v>97</v>
      </c>
      <c r="B59" s="32" t="s">
        <v>148</v>
      </c>
    </row>
    <row r="60" spans="1:2" x14ac:dyDescent="0.25">
      <c r="A60" s="32" t="s">
        <v>128</v>
      </c>
      <c r="B60" s="32" t="s">
        <v>148</v>
      </c>
    </row>
    <row r="61" spans="1:2" x14ac:dyDescent="0.25">
      <c r="A61" s="32" t="s">
        <v>82</v>
      </c>
      <c r="B61" s="32" t="s">
        <v>148</v>
      </c>
    </row>
    <row r="62" spans="1:2" x14ac:dyDescent="0.25">
      <c r="A62" s="32" t="s">
        <v>103</v>
      </c>
      <c r="B62" s="32" t="s">
        <v>148</v>
      </c>
    </row>
    <row r="63" spans="1:2" x14ac:dyDescent="0.25">
      <c r="A63" s="32" t="s">
        <v>120</v>
      </c>
      <c r="B63" s="32" t="s">
        <v>148</v>
      </c>
    </row>
    <row r="64" spans="1:2" x14ac:dyDescent="0.25">
      <c r="A64" s="32" t="s">
        <v>101</v>
      </c>
      <c r="B64" s="32" t="s">
        <v>148</v>
      </c>
    </row>
    <row r="65" spans="1:2" x14ac:dyDescent="0.25">
      <c r="A65" s="32" t="s">
        <v>151</v>
      </c>
      <c r="B65" s="32" t="s">
        <v>148</v>
      </c>
    </row>
    <row r="66" spans="1:2" x14ac:dyDescent="0.25">
      <c r="A66" s="32" t="s">
        <v>36</v>
      </c>
      <c r="B66" s="32" t="s">
        <v>148</v>
      </c>
    </row>
    <row r="67" spans="1:2" x14ac:dyDescent="0.25">
      <c r="A67" s="32" t="s">
        <v>132</v>
      </c>
      <c r="B67" s="32" t="s">
        <v>148</v>
      </c>
    </row>
    <row r="68" spans="1:2" x14ac:dyDescent="0.25">
      <c r="A68" s="32" t="s">
        <v>123</v>
      </c>
      <c r="B68" s="32" t="s">
        <v>148</v>
      </c>
    </row>
    <row r="69" spans="1:2" x14ac:dyDescent="0.25">
      <c r="A69" s="32" t="s">
        <v>78</v>
      </c>
      <c r="B69" s="32" t="s">
        <v>148</v>
      </c>
    </row>
    <row r="70" spans="1:2" x14ac:dyDescent="0.25">
      <c r="A70" s="32" t="s">
        <v>85</v>
      </c>
      <c r="B70" s="32" t="s">
        <v>148</v>
      </c>
    </row>
    <row r="71" spans="1:2" x14ac:dyDescent="0.25">
      <c r="A71" s="32" t="s">
        <v>126</v>
      </c>
      <c r="B71" s="32" t="s">
        <v>148</v>
      </c>
    </row>
    <row r="72" spans="1:2" x14ac:dyDescent="0.25">
      <c r="A72" s="32" t="s">
        <v>46</v>
      </c>
      <c r="B72" s="32" t="s">
        <v>148</v>
      </c>
    </row>
    <row r="73" spans="1:2" x14ac:dyDescent="0.25">
      <c r="A73" s="32" t="s">
        <v>114</v>
      </c>
      <c r="B73" s="32" t="s">
        <v>148</v>
      </c>
    </row>
    <row r="74" spans="1:2" x14ac:dyDescent="0.25">
      <c r="A74" s="32" t="s">
        <v>122</v>
      </c>
      <c r="B74" s="32" t="s">
        <v>148</v>
      </c>
    </row>
    <row r="75" spans="1:2" x14ac:dyDescent="0.25">
      <c r="A75" s="32" t="s">
        <v>129</v>
      </c>
      <c r="B75" s="32" t="s">
        <v>148</v>
      </c>
    </row>
    <row r="76" spans="1:2" x14ac:dyDescent="0.25">
      <c r="A76" s="32" t="s">
        <v>45</v>
      </c>
      <c r="B76" s="32" t="s">
        <v>148</v>
      </c>
    </row>
    <row r="77" spans="1:2" x14ac:dyDescent="0.25">
      <c r="A77" s="32" t="s">
        <v>113</v>
      </c>
      <c r="B77" s="32" t="s">
        <v>148</v>
      </c>
    </row>
    <row r="78" spans="1:2" x14ac:dyDescent="0.25">
      <c r="A78" s="32" t="s">
        <v>112</v>
      </c>
      <c r="B78" s="32" t="s">
        <v>148</v>
      </c>
    </row>
    <row r="79" spans="1:2" x14ac:dyDescent="0.25">
      <c r="A79" s="32" t="s">
        <v>115</v>
      </c>
      <c r="B79" s="32" t="s">
        <v>148</v>
      </c>
    </row>
    <row r="80" spans="1:2" x14ac:dyDescent="0.25">
      <c r="A80" s="32" t="s">
        <v>100</v>
      </c>
      <c r="B80" s="32" t="s">
        <v>144</v>
      </c>
    </row>
    <row r="81" spans="1:2" x14ac:dyDescent="0.25">
      <c r="A81" s="32" t="s">
        <v>60</v>
      </c>
      <c r="B81" s="32" t="s">
        <v>144</v>
      </c>
    </row>
    <row r="82" spans="1:2" x14ac:dyDescent="0.25">
      <c r="A82" s="32" t="s">
        <v>64</v>
      </c>
      <c r="B82" s="32" t="s">
        <v>144</v>
      </c>
    </row>
    <row r="83" spans="1:2" x14ac:dyDescent="0.25">
      <c r="A83" s="32" t="s">
        <v>86</v>
      </c>
      <c r="B83" s="32" t="s">
        <v>144</v>
      </c>
    </row>
    <row r="84" spans="1:2" x14ac:dyDescent="0.25">
      <c r="A84" s="32" t="s">
        <v>94</v>
      </c>
      <c r="B84" s="32" t="s">
        <v>144</v>
      </c>
    </row>
    <row r="85" spans="1:2" x14ac:dyDescent="0.25">
      <c r="A85" s="32" t="s">
        <v>139</v>
      </c>
      <c r="B85" s="32" t="s">
        <v>144</v>
      </c>
    </row>
    <row r="86" spans="1:2" x14ac:dyDescent="0.25">
      <c r="A86" s="32" t="s">
        <v>125</v>
      </c>
      <c r="B86" s="32" t="s">
        <v>144</v>
      </c>
    </row>
    <row r="87" spans="1:2" x14ac:dyDescent="0.25">
      <c r="A87" s="32" t="s">
        <v>130</v>
      </c>
      <c r="B87" s="32" t="s">
        <v>144</v>
      </c>
    </row>
    <row r="88" spans="1:2" x14ac:dyDescent="0.25">
      <c r="A88" s="32" t="s">
        <v>121</v>
      </c>
      <c r="B88" s="32" t="s">
        <v>144</v>
      </c>
    </row>
    <row r="89" spans="1:2" x14ac:dyDescent="0.25">
      <c r="A89" s="32" t="s">
        <v>61</v>
      </c>
      <c r="B89" s="32" t="s">
        <v>144</v>
      </c>
    </row>
    <row r="90" spans="1:2" x14ac:dyDescent="0.25">
      <c r="A90" s="32" t="s">
        <v>72</v>
      </c>
      <c r="B90" s="32" t="s">
        <v>144</v>
      </c>
    </row>
    <row r="91" spans="1:2" x14ac:dyDescent="0.25">
      <c r="A91" s="32" t="s">
        <v>81</v>
      </c>
      <c r="B91" s="32" t="s">
        <v>144</v>
      </c>
    </row>
    <row r="92" spans="1:2" x14ac:dyDescent="0.25">
      <c r="A92" s="32" t="s">
        <v>25</v>
      </c>
      <c r="B92" s="32" t="s">
        <v>144</v>
      </c>
    </row>
    <row r="93" spans="1:2" x14ac:dyDescent="0.25">
      <c r="A93" s="32" t="s">
        <v>44</v>
      </c>
      <c r="B93" s="32" t="s">
        <v>144</v>
      </c>
    </row>
    <row r="94" spans="1:2" x14ac:dyDescent="0.25">
      <c r="A94" s="32" t="s">
        <v>84</v>
      </c>
      <c r="B94" s="32" t="s">
        <v>144</v>
      </c>
    </row>
    <row r="95" spans="1:2" x14ac:dyDescent="0.25">
      <c r="A95" s="32" t="s">
        <v>79</v>
      </c>
      <c r="B95" s="32" t="s">
        <v>144</v>
      </c>
    </row>
    <row r="96" spans="1:2" x14ac:dyDescent="0.25">
      <c r="A96" s="32" t="s">
        <v>67</v>
      </c>
      <c r="B96" s="32" t="s">
        <v>144</v>
      </c>
    </row>
    <row r="97" spans="1:2" x14ac:dyDescent="0.25">
      <c r="A97" s="32" t="s">
        <v>27</v>
      </c>
      <c r="B97" s="32" t="s">
        <v>144</v>
      </c>
    </row>
    <row r="98" spans="1:2" x14ac:dyDescent="0.25">
      <c r="A98" s="32" t="s">
        <v>127</v>
      </c>
      <c r="B98" s="32" t="s">
        <v>144</v>
      </c>
    </row>
    <row r="99" spans="1:2" x14ac:dyDescent="0.25">
      <c r="A99" s="32" t="s">
        <v>80</v>
      </c>
      <c r="B99" s="32" t="s">
        <v>144</v>
      </c>
    </row>
    <row r="100" spans="1:2" x14ac:dyDescent="0.25">
      <c r="A100" s="32" t="s">
        <v>136</v>
      </c>
      <c r="B100" s="32" t="s">
        <v>144</v>
      </c>
    </row>
    <row r="101" spans="1:2" x14ac:dyDescent="0.25">
      <c r="A101" s="32" t="s">
        <v>138</v>
      </c>
      <c r="B101" s="32" t="s">
        <v>144</v>
      </c>
    </row>
    <row r="102" spans="1:2" x14ac:dyDescent="0.25">
      <c r="A102" s="32" t="s">
        <v>135</v>
      </c>
      <c r="B102" s="32" t="s">
        <v>144</v>
      </c>
    </row>
    <row r="103" spans="1:2" x14ac:dyDescent="0.25">
      <c r="A103" s="32" t="s">
        <v>105</v>
      </c>
      <c r="B103" s="32" t="s">
        <v>144</v>
      </c>
    </row>
    <row r="104" spans="1:2" x14ac:dyDescent="0.25">
      <c r="A104" s="32" t="s">
        <v>47</v>
      </c>
      <c r="B104" s="32" t="s">
        <v>148</v>
      </c>
    </row>
    <row r="105" spans="1:2" x14ac:dyDescent="0.25">
      <c r="A105" s="32" t="s">
        <v>30</v>
      </c>
      <c r="B105" s="32" t="s">
        <v>148</v>
      </c>
    </row>
    <row r="106" spans="1:2" x14ac:dyDescent="0.25">
      <c r="A106" s="32" t="s">
        <v>63</v>
      </c>
      <c r="B106" s="32" t="s">
        <v>148</v>
      </c>
    </row>
    <row r="107" spans="1:2" x14ac:dyDescent="0.25">
      <c r="A107" s="32" t="s">
        <v>22</v>
      </c>
      <c r="B107" s="32" t="s">
        <v>148</v>
      </c>
    </row>
    <row r="108" spans="1:2" x14ac:dyDescent="0.25">
      <c r="A108" s="32" t="s">
        <v>26</v>
      </c>
      <c r="B108" s="32" t="s">
        <v>148</v>
      </c>
    </row>
    <row r="109" spans="1:2" x14ac:dyDescent="0.25">
      <c r="A109" s="32" t="s">
        <v>48</v>
      </c>
      <c r="B109" s="32" t="s">
        <v>148</v>
      </c>
    </row>
    <row r="110" spans="1:2" x14ac:dyDescent="0.25">
      <c r="A110" s="32" t="s">
        <v>93</v>
      </c>
      <c r="B110" s="32" t="s">
        <v>148</v>
      </c>
    </row>
    <row r="111" spans="1:2" x14ac:dyDescent="0.25">
      <c r="A111" s="32" t="s">
        <v>83</v>
      </c>
      <c r="B111" s="32" t="s">
        <v>148</v>
      </c>
    </row>
    <row r="112" spans="1:2" x14ac:dyDescent="0.25">
      <c r="A112" s="31" t="s">
        <v>87</v>
      </c>
      <c r="B112" s="32" t="s">
        <v>148</v>
      </c>
    </row>
    <row r="113" spans="1:2" x14ac:dyDescent="0.25">
      <c r="A113" s="31" t="s">
        <v>88</v>
      </c>
      <c r="B113" s="32" t="s">
        <v>144</v>
      </c>
    </row>
    <row r="114" spans="1:2" x14ac:dyDescent="0.25">
      <c r="A114" s="13" t="s">
        <v>96</v>
      </c>
      <c r="B114" s="32" t="s">
        <v>148</v>
      </c>
    </row>
    <row r="115" spans="1:2" x14ac:dyDescent="0.25">
      <c r="A115" s="13" t="s">
        <v>140</v>
      </c>
      <c r="B115" s="32" t="s">
        <v>144</v>
      </c>
    </row>
    <row r="116" spans="1:2" x14ac:dyDescent="0.25">
      <c r="A116" s="13" t="s">
        <v>393</v>
      </c>
      <c r="B116" s="32" t="s">
        <v>148</v>
      </c>
    </row>
    <row r="117" spans="1:2" x14ac:dyDescent="0.25">
      <c r="A117" s="10" t="s">
        <v>1095</v>
      </c>
      <c r="B117" s="32" t="s">
        <v>144</v>
      </c>
    </row>
    <row r="118" spans="1:2" x14ac:dyDescent="0.25">
      <c r="A118" s="25"/>
      <c r="B118" s="25"/>
    </row>
    <row r="119" spans="1:2" x14ac:dyDescent="0.25">
      <c r="A119" s="25"/>
      <c r="B119" s="25"/>
    </row>
    <row r="120" spans="1:2" x14ac:dyDescent="0.25">
      <c r="A120" s="25"/>
      <c r="B120" s="25"/>
    </row>
    <row r="121" spans="1:2" x14ac:dyDescent="0.25">
      <c r="A121" s="25"/>
      <c r="B121" s="25"/>
    </row>
    <row r="122" spans="1:2" x14ac:dyDescent="0.25">
      <c r="A122" s="25"/>
      <c r="B122" s="25"/>
    </row>
    <row r="123" spans="1:2" x14ac:dyDescent="0.25">
      <c r="A123" s="25"/>
      <c r="B123" s="25"/>
    </row>
    <row r="124" spans="1:2" x14ac:dyDescent="0.25">
      <c r="A124" s="25"/>
      <c r="B124" s="25"/>
    </row>
    <row r="125" spans="1:2" x14ac:dyDescent="0.25">
      <c r="A125" s="25"/>
      <c r="B125" s="25"/>
    </row>
    <row r="126" spans="1:2" x14ac:dyDescent="0.25">
      <c r="A126" s="25"/>
      <c r="B126" s="25"/>
    </row>
    <row r="127" spans="1:2" x14ac:dyDescent="0.25">
      <c r="A127" s="25"/>
      <c r="B127" s="25"/>
    </row>
    <row r="128" spans="1:2" x14ac:dyDescent="0.25">
      <c r="A128" s="25"/>
      <c r="B128" s="25"/>
    </row>
    <row r="129" spans="1:2" x14ac:dyDescent="0.25">
      <c r="A129" s="25"/>
      <c r="B129" s="25"/>
    </row>
    <row r="130" spans="1:2" x14ac:dyDescent="0.25">
      <c r="A130" s="25"/>
      <c r="B130" s="25"/>
    </row>
    <row r="131" spans="1:2" x14ac:dyDescent="0.25">
      <c r="A131" s="25"/>
      <c r="B131" s="25"/>
    </row>
    <row r="132" spans="1:2" x14ac:dyDescent="0.25">
      <c r="A132" s="25"/>
      <c r="B132" s="25"/>
    </row>
    <row r="133" spans="1:2" x14ac:dyDescent="0.25">
      <c r="A133" s="25"/>
      <c r="B133" s="25"/>
    </row>
    <row r="134" spans="1:2" x14ac:dyDescent="0.25">
      <c r="A134" s="25"/>
      <c r="B134" s="25"/>
    </row>
    <row r="135" spans="1:2" x14ac:dyDescent="0.25">
      <c r="A135" s="25"/>
      <c r="B135" s="25"/>
    </row>
    <row r="136" spans="1:2" x14ac:dyDescent="0.25">
      <c r="A136" s="25"/>
      <c r="B136" s="25"/>
    </row>
    <row r="137" spans="1:2" x14ac:dyDescent="0.25">
      <c r="A137" s="25"/>
      <c r="B137" s="25"/>
    </row>
    <row r="138" spans="1:2" x14ac:dyDescent="0.25">
      <c r="A138" s="25"/>
      <c r="B138" s="25"/>
    </row>
    <row r="139" spans="1:2" x14ac:dyDescent="0.25">
      <c r="A139" s="25"/>
      <c r="B139" s="25"/>
    </row>
    <row r="140" spans="1:2" x14ac:dyDescent="0.25">
      <c r="A140" s="25"/>
      <c r="B140" s="25"/>
    </row>
    <row r="141" spans="1:2" x14ac:dyDescent="0.25">
      <c r="A141" s="25"/>
      <c r="B141" s="25"/>
    </row>
    <row r="142" spans="1:2" x14ac:dyDescent="0.25">
      <c r="A142" s="25"/>
      <c r="B142" s="25"/>
    </row>
    <row r="143" spans="1:2" x14ac:dyDescent="0.25">
      <c r="A143" s="25"/>
      <c r="B143" s="25"/>
    </row>
    <row r="144" spans="1:2" x14ac:dyDescent="0.25">
      <c r="A144" s="25"/>
      <c r="B144" s="25"/>
    </row>
    <row r="145" spans="1:2" x14ac:dyDescent="0.25">
      <c r="A145" s="25"/>
      <c r="B145" s="25"/>
    </row>
    <row r="146" spans="1:2" x14ac:dyDescent="0.25">
      <c r="A146" s="25"/>
      <c r="B146" s="25"/>
    </row>
    <row r="147" spans="1:2" x14ac:dyDescent="0.25">
      <c r="A147" s="25"/>
      <c r="B147" s="25"/>
    </row>
    <row r="148" spans="1:2" x14ac:dyDescent="0.25">
      <c r="A148" s="25"/>
      <c r="B148" s="25"/>
    </row>
    <row r="149" spans="1:2" x14ac:dyDescent="0.25">
      <c r="A149" s="25"/>
      <c r="B149" s="25"/>
    </row>
    <row r="150" spans="1:2" x14ac:dyDescent="0.25">
      <c r="A150" s="25"/>
      <c r="B150" s="25"/>
    </row>
    <row r="151" spans="1:2" x14ac:dyDescent="0.25">
      <c r="A151" s="25"/>
      <c r="B151" s="25"/>
    </row>
    <row r="152" spans="1:2" x14ac:dyDescent="0.25">
      <c r="A152" s="25"/>
      <c r="B152" s="25"/>
    </row>
    <row r="153" spans="1:2" x14ac:dyDescent="0.25">
      <c r="A153" s="25"/>
      <c r="B153" s="25"/>
    </row>
    <row r="154" spans="1:2" x14ac:dyDescent="0.25">
      <c r="A154" s="25"/>
      <c r="B154" s="25"/>
    </row>
    <row r="155" spans="1:2" x14ac:dyDescent="0.25">
      <c r="A155" s="25"/>
      <c r="B155" s="25"/>
    </row>
    <row r="156" spans="1:2" x14ac:dyDescent="0.25">
      <c r="A156" s="25"/>
      <c r="B156" s="25"/>
    </row>
    <row r="157" spans="1:2" x14ac:dyDescent="0.25">
      <c r="A157" s="25"/>
      <c r="B157" s="25"/>
    </row>
    <row r="158" spans="1:2" x14ac:dyDescent="0.25">
      <c r="A158" s="25"/>
      <c r="B158" s="25"/>
    </row>
    <row r="159" spans="1:2" x14ac:dyDescent="0.25">
      <c r="A159" s="25"/>
      <c r="B159" s="25"/>
    </row>
    <row r="160" spans="1:2" x14ac:dyDescent="0.25">
      <c r="A160" s="25"/>
      <c r="B160" s="25"/>
    </row>
    <row r="161" spans="1:2" x14ac:dyDescent="0.25">
      <c r="A161" s="25"/>
      <c r="B161" s="25"/>
    </row>
    <row r="162" spans="1:2" x14ac:dyDescent="0.25">
      <c r="A162" s="25"/>
      <c r="B162" s="25"/>
    </row>
    <row r="163" spans="1:2" x14ac:dyDescent="0.25">
      <c r="A163" s="25"/>
      <c r="B163" s="25"/>
    </row>
    <row r="164" spans="1:2" x14ac:dyDescent="0.25">
      <c r="A164" s="25"/>
      <c r="B164" s="25"/>
    </row>
    <row r="165" spans="1:2" x14ac:dyDescent="0.25">
      <c r="A165" s="25"/>
      <c r="B165" s="25"/>
    </row>
    <row r="166" spans="1:2" x14ac:dyDescent="0.25">
      <c r="A166" s="25"/>
      <c r="B166" s="25"/>
    </row>
    <row r="167" spans="1:2" x14ac:dyDescent="0.25">
      <c r="A167" s="25"/>
      <c r="B167" s="25"/>
    </row>
    <row r="168" spans="1:2" x14ac:dyDescent="0.25">
      <c r="A168" s="25"/>
      <c r="B168" s="25"/>
    </row>
    <row r="169" spans="1:2" x14ac:dyDescent="0.25">
      <c r="A169" s="25"/>
      <c r="B169" s="25"/>
    </row>
    <row r="170" spans="1:2" x14ac:dyDescent="0.25">
      <c r="A170" s="25"/>
      <c r="B170" s="25"/>
    </row>
    <row r="171" spans="1:2" x14ac:dyDescent="0.25">
      <c r="A171" s="25"/>
      <c r="B171" s="25"/>
    </row>
    <row r="172" spans="1:2" x14ac:dyDescent="0.25">
      <c r="A172" s="25"/>
      <c r="B172" s="25"/>
    </row>
    <row r="173" spans="1:2" x14ac:dyDescent="0.25">
      <c r="A173" s="25"/>
      <c r="B173" s="25"/>
    </row>
    <row r="174" spans="1:2" x14ac:dyDescent="0.25">
      <c r="A174" s="25"/>
      <c r="B174" s="25"/>
    </row>
    <row r="175" spans="1:2" x14ac:dyDescent="0.25">
      <c r="A175" s="25"/>
      <c r="B175" s="25"/>
    </row>
    <row r="176" spans="1:2" x14ac:dyDescent="0.25">
      <c r="A176" s="25"/>
      <c r="B176" s="25"/>
    </row>
    <row r="177" spans="1:2" x14ac:dyDescent="0.25">
      <c r="A177" s="25"/>
      <c r="B177" s="25"/>
    </row>
    <row r="178" spans="1:2" x14ac:dyDescent="0.25">
      <c r="A178" s="25"/>
      <c r="B178" s="25"/>
    </row>
    <row r="179" spans="1:2" x14ac:dyDescent="0.25">
      <c r="A179" s="25"/>
      <c r="B179" s="25"/>
    </row>
    <row r="180" spans="1:2" x14ac:dyDescent="0.25">
      <c r="A180" s="25"/>
      <c r="B180" s="25"/>
    </row>
    <row r="181" spans="1:2" x14ac:dyDescent="0.25">
      <c r="A181" s="25"/>
      <c r="B181" s="25"/>
    </row>
    <row r="182" spans="1:2" x14ac:dyDescent="0.25">
      <c r="A182" s="25"/>
      <c r="B182" s="25"/>
    </row>
    <row r="183" spans="1:2" x14ac:dyDescent="0.25">
      <c r="A183" s="25"/>
      <c r="B183" s="25"/>
    </row>
    <row r="184" spans="1:2" x14ac:dyDescent="0.25">
      <c r="A184" s="25"/>
      <c r="B184" s="25"/>
    </row>
    <row r="185" spans="1:2" x14ac:dyDescent="0.25">
      <c r="A185" s="25"/>
      <c r="B185" s="25"/>
    </row>
    <row r="186" spans="1:2" x14ac:dyDescent="0.25">
      <c r="A186" s="25"/>
      <c r="B186" s="25"/>
    </row>
    <row r="187" spans="1:2" x14ac:dyDescent="0.25">
      <c r="A187" s="25"/>
      <c r="B187" s="25"/>
    </row>
    <row r="188" spans="1:2" x14ac:dyDescent="0.25">
      <c r="A188" s="25"/>
      <c r="B188" s="25"/>
    </row>
    <row r="189" spans="1:2" x14ac:dyDescent="0.25">
      <c r="A189" s="25"/>
      <c r="B189" s="25"/>
    </row>
    <row r="190" spans="1:2" x14ac:dyDescent="0.25">
      <c r="A190" s="25"/>
      <c r="B190" s="25"/>
    </row>
    <row r="191" spans="1:2" x14ac:dyDescent="0.25">
      <c r="A191" s="25"/>
      <c r="B191" s="25"/>
    </row>
    <row r="192" spans="1:2" x14ac:dyDescent="0.25">
      <c r="A192" s="25"/>
      <c r="B192" s="25"/>
    </row>
    <row r="193" spans="1:2" x14ac:dyDescent="0.25">
      <c r="A193" s="25"/>
      <c r="B193" s="25"/>
    </row>
    <row r="194" spans="1:2" x14ac:dyDescent="0.25">
      <c r="A194" s="25"/>
      <c r="B194" s="25"/>
    </row>
    <row r="195" spans="1:2" x14ac:dyDescent="0.25">
      <c r="A195" s="25"/>
      <c r="B195" s="25"/>
    </row>
    <row r="196" spans="1:2" x14ac:dyDescent="0.25">
      <c r="A196" s="25"/>
      <c r="B196" s="25"/>
    </row>
    <row r="197" spans="1:2" x14ac:dyDescent="0.25">
      <c r="A197" s="25"/>
      <c r="B197" s="25"/>
    </row>
    <row r="198" spans="1:2" x14ac:dyDescent="0.25">
      <c r="A198" s="25"/>
      <c r="B198" s="25"/>
    </row>
    <row r="199" spans="1:2" x14ac:dyDescent="0.25">
      <c r="A199" s="25"/>
      <c r="B199" s="25"/>
    </row>
    <row r="200" spans="1:2" x14ac:dyDescent="0.25">
      <c r="A200" s="25"/>
      <c r="B200" s="25"/>
    </row>
    <row r="201" spans="1:2" x14ac:dyDescent="0.25">
      <c r="A201" s="25"/>
      <c r="B201" s="25"/>
    </row>
    <row r="202" spans="1:2" x14ac:dyDescent="0.25">
      <c r="A202" s="25"/>
      <c r="B202" s="25"/>
    </row>
    <row r="203" spans="1:2" x14ac:dyDescent="0.25">
      <c r="A203" s="25"/>
      <c r="B203" s="25"/>
    </row>
    <row r="204" spans="1:2" x14ac:dyDescent="0.25">
      <c r="A204" s="26"/>
      <c r="B204" s="26"/>
    </row>
    <row r="205" spans="1:2" x14ac:dyDescent="0.25">
      <c r="A205" s="26"/>
      <c r="B205" s="26"/>
    </row>
    <row r="206" spans="1:2" x14ac:dyDescent="0.25">
      <c r="A206" s="26"/>
      <c r="B206" s="26"/>
    </row>
    <row r="207" spans="1:2" x14ac:dyDescent="0.25">
      <c r="A207" s="27"/>
      <c r="B207" s="26"/>
    </row>
    <row r="208" spans="1:2" x14ac:dyDescent="0.25">
      <c r="A208" s="26"/>
      <c r="B208" s="25"/>
    </row>
    <row r="209" spans="1:2" x14ac:dyDescent="0.25">
      <c r="A209" s="28"/>
      <c r="B209" s="25"/>
    </row>
  </sheetData>
  <conditionalFormatting sqref="A1">
    <cfRule type="duplicateValues" dxfId="4" priority="3"/>
    <cfRule type="duplicateValues" dxfId="3" priority="4"/>
  </conditionalFormatting>
  <conditionalFormatting sqref="A2:A111 A118:A203">
    <cfRule type="duplicateValues" dxfId="2" priority="5"/>
  </conditionalFormatting>
  <conditionalFormatting sqref="A112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Apresentação</vt:lpstr>
      <vt:lpstr>din</vt:lpstr>
      <vt:lpstr>detalhes</vt:lpstr>
      <vt:lpstr>ultima atualização</vt:lpstr>
      <vt:lpstr>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 Wang</dc:creator>
  <cp:lastModifiedBy>Patric Oliveira Cruz</cp:lastModifiedBy>
  <dcterms:created xsi:type="dcterms:W3CDTF">2026-07-07T17:03:46Z</dcterms:created>
  <dcterms:modified xsi:type="dcterms:W3CDTF">2026-09-16T19:36:42Z</dcterms:modified>
</cp:coreProperties>
</file>